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20225" codeName="{2AF44A5B-4F9A-30C1-5B58-47010ADB2D0F}"/>
  <workbookPr codeName="ThisWorkbook" autoCompressPictures="0"/>
  <bookViews>
    <workbookView xWindow="0" yWindow="0" windowWidth="31100" windowHeight="18700" tabRatio="500" activeTab="1"/>
  </bookViews>
  <sheets>
    <sheet name="Cover Sheet" sheetId="4" r:id="rId1"/>
    <sheet name="Requirements" sheetId="2" r:id="rId2"/>
    <sheet name="Architecture" sheetId="10" r:id="rId3"/>
    <sheet name="Parameters" sheetId="9" r:id="rId4"/>
    <sheet name="Test Spec" sheetId="6" r:id="rId5"/>
    <sheet name="Glossary" sheetId="11" r:id="rId6"/>
  </sheets>
  <definedNames>
    <definedName name="_xlnm._FilterDatabase" localSheetId="1" hidden="1">Requirements!$A$1:$M$28</definedName>
    <definedName name="Simulink_requirement_item_1">#REF!</definedName>
  </definedNames>
  <calcPr calcId="140001" concurrentCalc="0"/>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3" i="2"/>
  <c r="L24" i="2"/>
  <c r="L25" i="2"/>
  <c r="L26" i="2"/>
  <c r="L27" i="2"/>
  <c r="L28" i="2"/>
  <c r="L2" i="2"/>
</calcChain>
</file>

<file path=xl/comments1.xml><?xml version="1.0" encoding="utf-8"?>
<comments xmlns="http://schemas.openxmlformats.org/spreadsheetml/2006/main">
  <authors>
    <author>Aju Jose</author>
  </authors>
  <commentList>
    <comment ref="A32" authorId="0">
      <text>
        <r>
          <rPr>
            <b/>
            <sz val="9"/>
            <color indexed="81"/>
            <rFont val="Tahoma"/>
            <charset val="1"/>
          </rPr>
          <t>Aju Jose:</t>
        </r>
        <r>
          <rPr>
            <sz val="9"/>
            <color indexed="81"/>
            <rFont val="Tahoma"/>
            <charset val="1"/>
          </rPr>
          <t xml:space="preserve">
testing method not finalised</t>
        </r>
      </text>
    </comment>
    <comment ref="A35" authorId="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<sst xmlns="http://schemas.openxmlformats.org/spreadsheetml/2006/main" count="327" uniqueCount="251">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</sst>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4">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8" borderId="9"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0" fillId="8" borderId="10" xfId="0" applyFill="1" applyBorder="1" applyAlignment="1">
      <alignment horizontal="left" vertic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6" xfId="0" applyFill="1" applyBorder="1" applyAlignment="1">
      <alignment horizontal="left" vertical="center"/>
    </xf>
    <xf numFmtId="0" fontId="0" fillId="7" borderId="14" xfId="0" applyFill="1" applyBorder="1" applyAlignment="1">
      <alignment horizontal="left" vertical="center"/>
    </xf>
  </cellXfs>
  <cellStyles count="4">
    <cellStyle name="Link" xfId="3" builtinId="8"/>
    <cellStyle name="Normal 2" xfId="1"/>
    <cellStyle name="Standard" xfId="0" builtinId="0"/>
    <cellStyle name="Überschrift 1" xfId="2" builtinId="16"/>
  </cellStyles>
  <dxfs count="17">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a16="http://schemas.microsoft.com/office/drawing/2014/main" xmlns=""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a16="http://schemas.microsoft.com/office/drawing/2014/main" xmlns=""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xmlns=""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id="1" name="Table1" displayName="Table1" ref="A1:M28" totalsRowShown="0" headerRowDxfId="16">
  <autoFilter ref="A1:M28"/>
  <tableColumns count="13">
    <tableColumn id="1" name="Req.ID" dataDxfId="15"/>
    <tableColumn id="3" name="Requirement" dataDxfId="14"/>
    <tableColumn id="4" name="Description" dataDxfId="13"/>
    <tableColumn id="5" name="Responsibility" dataDxfId="12"/>
    <tableColumn id="6" name="Priority_x000a_1: low 3: high" dataDxfId="11"/>
    <tableColumn id="7" name="Functional Req. ?" dataDxfId="10"/>
    <tableColumn id="8" name="Associated_x000a_Test ID" dataDxfId="9"/>
    <tableColumn id="9" name="% Maturity" dataDxfId="8"/>
    <tableColumn id="12" name="Risk" dataDxfId="7"/>
    <tableColumn id="11" name="Severity_x000a_1: low 3: high" dataDxfId="6"/>
    <tableColumn id="13" name="Probability" dataDxfId="5"/>
    <tableColumn id="2" name="RiskValue" dataDxfId="4">
      <calculatedColumnFormula>IF(F2="yes", J2*K2, " " )</calculatedColumnFormula>
    </tableColumn>
    <tableColumn id="10" name="Remark" dataDxfId="3"/>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C10" totalsRowShown="0">
  <autoFilter ref="A1:C10"/>
  <tableColumns count="3">
    <tableColumn id="1" name="Parameter"/>
    <tableColumn id="2" name="Value"/>
    <tableColumn id="3" name="Description"/>
  </tableColumns>
  <tableStyleInfo name="TableStyleMedium9" showFirstColumn="0" showLastColumn="0" showRowStripes="1" showColumnStripes="0"/>
</table>
</file>

<file path=xl/tables/table3.xml><?xml version="1.0" encoding="utf-8"?>
<table xmlns="http://schemas.openxmlformats.org/spreadsheetml/2006/main" id="3" name="Table14" displayName="Table14" ref="B3:D10" totalsRowShown="0">
  <autoFilter ref="B3:D10"/>
  <sortState ref="B4:D9">
    <sortCondition ref="C4"/>
  </sortState>
  <tableColumns count="3">
    <tableColumn id="1" name="no." dataDxfId="2"/>
    <tableColumn id="2" name="item" dataDxfId="1"/>
    <tableColumn id="3"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20"/>
  <sheetViews>
    <sheetView topLeftCell="A2" workbookViewId="0">
      <selection activeCell="C15" sqref="C15"/>
    </sheetView>
  </sheetViews>
  <sheetFormatPr baseColWidth="10" defaultColWidth="8.83203125" defaultRowHeight="15" x14ac:dyDescent="0"/>
  <cols>
    <col min="3" max="3" width="23.83203125" customWidth="1"/>
    <col min="4" max="4" width="14.83203125" customWidth="1"/>
    <col min="5" max="5" width="10.83203125" customWidth="1"/>
  </cols>
  <sheetData>
    <row r="1" spans="1:10" ht="33">
      <c r="A1" s="78">
        <v>43397</v>
      </c>
      <c r="B1" s="79"/>
      <c r="C1" s="79"/>
    </row>
    <row r="2" spans="1:10" ht="23">
      <c r="A2" s="80" t="s">
        <v>10</v>
      </c>
      <c r="B2" s="80"/>
      <c r="C2" s="80"/>
      <c r="D2" s="80"/>
      <c r="E2" s="80"/>
      <c r="F2" s="80"/>
      <c r="G2" s="80"/>
      <c r="H2" s="80"/>
    </row>
    <row r="3" spans="1:10">
      <c r="A3" s="6" t="s">
        <v>8</v>
      </c>
      <c r="C3" s="6" t="s">
        <v>25</v>
      </c>
      <c r="D3" s="5"/>
      <c r="E3" s="5"/>
      <c r="F3" s="5"/>
      <c r="G3" s="5"/>
      <c r="H3" s="5"/>
    </row>
    <row r="4" spans="1:10" ht="41.5" customHeight="1">
      <c r="A4" s="81" t="s">
        <v>11</v>
      </c>
      <c r="B4" s="82"/>
      <c r="C4" s="82"/>
      <c r="D4" s="82"/>
      <c r="E4" s="82"/>
      <c r="F4" s="82"/>
      <c r="G4" s="82"/>
      <c r="H4" s="82"/>
      <c r="I4" s="82"/>
      <c r="J4" s="82"/>
    </row>
    <row r="5" spans="1:10" ht="13.5" customHeight="1"/>
    <row r="6" spans="1:10" ht="45.25" customHeight="1">
      <c r="A6" s="83" t="s">
        <v>12</v>
      </c>
      <c r="B6" s="84"/>
      <c r="C6" s="84"/>
      <c r="D6" s="84"/>
      <c r="E6" s="84"/>
      <c r="F6" s="84"/>
      <c r="G6" s="84"/>
      <c r="H6" s="84"/>
      <c r="I6" s="84"/>
      <c r="J6" s="84"/>
    </row>
    <row r="8" spans="1:10">
      <c r="A8" s="85" t="s">
        <v>1</v>
      </c>
      <c r="B8" s="85"/>
    </row>
    <row r="9" spans="1:10" ht="28">
      <c r="A9" s="3" t="s">
        <v>2</v>
      </c>
      <c r="B9" s="4" t="s">
        <v>0</v>
      </c>
      <c r="C9" s="4" t="s">
        <v>3</v>
      </c>
      <c r="D9" s="4" t="s">
        <v>4</v>
      </c>
      <c r="E9" s="4" t="s">
        <v>5</v>
      </c>
    </row>
    <row r="10" spans="1:10">
      <c r="A10">
        <v>1</v>
      </c>
      <c r="B10" t="s">
        <v>6</v>
      </c>
      <c r="C10" t="s">
        <v>7</v>
      </c>
      <c r="D10" t="s">
        <v>62</v>
      </c>
      <c r="E10" s="1">
        <v>43397</v>
      </c>
    </row>
    <row r="11" spans="1:10">
      <c r="A11">
        <v>2</v>
      </c>
      <c r="B11" t="s">
        <v>6</v>
      </c>
      <c r="C11" t="s">
        <v>105</v>
      </c>
      <c r="D11" t="s">
        <v>106</v>
      </c>
      <c r="E11" s="1">
        <v>43402</v>
      </c>
    </row>
    <row r="12" spans="1:10">
      <c r="A12">
        <v>3</v>
      </c>
      <c r="B12" t="s">
        <v>6</v>
      </c>
      <c r="C12" t="s">
        <v>200</v>
      </c>
      <c r="D12" t="s">
        <v>107</v>
      </c>
      <c r="E12" s="1">
        <v>43402</v>
      </c>
    </row>
    <row r="13" spans="1:10">
      <c r="A13">
        <v>4</v>
      </c>
      <c r="B13" t="s">
        <v>242</v>
      </c>
      <c r="C13" t="s">
        <v>243</v>
      </c>
      <c r="D13" t="s">
        <v>244</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M31"/>
  <sheetViews>
    <sheetView tabSelected="1" workbookViewId="0">
      <selection activeCell="I30" sqref="I30"/>
    </sheetView>
  </sheetViews>
  <sheetFormatPr baseColWidth="10" defaultColWidth="8.83203125" defaultRowHeight="15" x14ac:dyDescent="0"/>
  <cols>
    <col min="1" max="1" width="17.6640625" style="2" customWidth="1"/>
    <col min="2" max="2" width="83.1640625" style="8" customWidth="1"/>
    <col min="3" max="3" width="36.33203125" style="2" hidden="1" customWidth="1"/>
    <col min="4" max="4" width="0.1640625" style="2" customWidth="1"/>
    <col min="5" max="5" width="16.1640625" style="7" customWidth="1"/>
    <col min="6" max="6" width="20.6640625" style="7" customWidth="1"/>
    <col min="7" max="7" width="33" style="7" hidden="1" customWidth="1"/>
    <col min="8" max="8" width="17" style="2" customWidth="1"/>
    <col min="9" max="9" width="43.33203125" style="2" customWidth="1"/>
    <col min="10" max="12" width="17" style="2" customWidth="1"/>
    <col min="13" max="13" width="17.33203125" style="2" customWidth="1"/>
    <col min="14" max="16384" width="8.83203125" style="2"/>
  </cols>
  <sheetData>
    <row r="1" spans="1:13" s="8" customFormat="1" ht="42" customHeight="1">
      <c r="A1" s="12" t="s">
        <v>13</v>
      </c>
      <c r="B1" s="12" t="s">
        <v>14</v>
      </c>
      <c r="C1" s="12" t="s">
        <v>15</v>
      </c>
      <c r="D1" s="12" t="s">
        <v>86</v>
      </c>
      <c r="E1" s="18" t="s">
        <v>61</v>
      </c>
      <c r="F1" s="12" t="s">
        <v>17</v>
      </c>
      <c r="G1" s="12" t="s">
        <v>24</v>
      </c>
      <c r="H1" s="18" t="s">
        <v>16</v>
      </c>
      <c r="I1" s="18" t="s">
        <v>233</v>
      </c>
      <c r="J1" s="18" t="s">
        <v>236</v>
      </c>
      <c r="K1" s="18" t="s">
        <v>234</v>
      </c>
      <c r="L1" s="18" t="s">
        <v>235</v>
      </c>
      <c r="M1" s="12" t="s">
        <v>9</v>
      </c>
    </row>
    <row r="2" spans="1:13">
      <c r="A2" s="13" t="s">
        <v>26</v>
      </c>
      <c r="B2" s="14" t="s">
        <v>201</v>
      </c>
      <c r="C2" s="14"/>
      <c r="D2" s="13"/>
      <c r="E2" s="15">
        <v>3</v>
      </c>
      <c r="F2" s="15" t="s">
        <v>19</v>
      </c>
      <c r="G2" s="66" t="s">
        <v>108</v>
      </c>
      <c r="H2" s="13">
        <v>0</v>
      </c>
      <c r="I2" s="75" t="s">
        <v>245</v>
      </c>
      <c r="J2" s="13">
        <v>3</v>
      </c>
      <c r="K2" s="74">
        <v>0.3</v>
      </c>
      <c r="L2" s="77">
        <f t="shared" ref="L2:L28" si="0">IF(F2="yes", J2*K2, " " )</f>
        <v>0.89999999999999991</v>
      </c>
      <c r="M2" s="16"/>
    </row>
    <row r="3" spans="1:13">
      <c r="A3" s="13" t="s">
        <v>27</v>
      </c>
      <c r="B3" s="14" t="s">
        <v>52</v>
      </c>
      <c r="C3" s="17"/>
      <c r="D3" s="13"/>
      <c r="E3" s="15">
        <v>3</v>
      </c>
      <c r="F3" s="15" t="s">
        <v>19</v>
      </c>
      <c r="G3" s="66" t="s">
        <v>111</v>
      </c>
      <c r="H3" s="13">
        <v>0</v>
      </c>
      <c r="I3" s="75" t="s">
        <v>245</v>
      </c>
      <c r="J3" s="13">
        <v>3</v>
      </c>
      <c r="K3" s="74">
        <v>0.25</v>
      </c>
      <c r="L3" s="13">
        <f t="shared" si="0"/>
        <v>0.75</v>
      </c>
      <c r="M3" s="16"/>
    </row>
    <row r="4" spans="1:13">
      <c r="A4" s="13" t="s">
        <v>28</v>
      </c>
      <c r="B4" s="14" t="s">
        <v>99</v>
      </c>
      <c r="C4" s="17"/>
      <c r="D4" s="13"/>
      <c r="E4" s="15">
        <v>3</v>
      </c>
      <c r="F4" s="15" t="s">
        <v>19</v>
      </c>
      <c r="G4" s="66" t="s">
        <v>117</v>
      </c>
      <c r="H4" s="13">
        <v>0</v>
      </c>
      <c r="I4" s="75" t="s">
        <v>245</v>
      </c>
      <c r="J4" s="13">
        <v>3</v>
      </c>
      <c r="K4" s="74">
        <v>0.5</v>
      </c>
      <c r="L4" s="13">
        <f t="shared" si="0"/>
        <v>1.5</v>
      </c>
      <c r="M4" s="16"/>
    </row>
    <row r="5" spans="1:13">
      <c r="A5" s="13" t="s">
        <v>29</v>
      </c>
      <c r="B5" s="14" t="s">
        <v>50</v>
      </c>
      <c r="C5" s="17"/>
      <c r="D5" s="13"/>
      <c r="E5" s="15">
        <v>3</v>
      </c>
      <c r="F5" s="15" t="s">
        <v>19</v>
      </c>
      <c r="G5" s="66" t="s">
        <v>123</v>
      </c>
      <c r="H5" s="13">
        <v>0</v>
      </c>
      <c r="I5" s="75" t="s">
        <v>245</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5" customHeight="1">
      <c r="A7" s="13" t="s">
        <v>31</v>
      </c>
      <c r="B7" s="14" t="s">
        <v>91</v>
      </c>
      <c r="C7" s="14"/>
      <c r="D7" s="13"/>
      <c r="E7" s="15">
        <v>1</v>
      </c>
      <c r="F7" s="15" t="s">
        <v>18</v>
      </c>
      <c r="G7" s="15"/>
      <c r="H7" s="13">
        <v>0</v>
      </c>
      <c r="I7" s="76"/>
      <c r="J7" s="13"/>
      <c r="K7" s="74"/>
      <c r="L7" s="13" t="str">
        <f t="shared" si="0"/>
        <v xml:space="preserve"> </v>
      </c>
      <c r="M7" s="16"/>
    </row>
    <row r="8" spans="1:13" ht="69" customHeight="1">
      <c r="A8" s="13" t="s">
        <v>32</v>
      </c>
      <c r="B8" s="14" t="s">
        <v>55</v>
      </c>
      <c r="C8" s="14"/>
      <c r="D8" s="13"/>
      <c r="E8" s="15">
        <v>3</v>
      </c>
      <c r="F8" s="15" t="s">
        <v>19</v>
      </c>
      <c r="G8" s="66" t="s">
        <v>127</v>
      </c>
      <c r="H8" s="13">
        <v>0</v>
      </c>
      <c r="I8" s="75" t="s">
        <v>237</v>
      </c>
      <c r="J8" s="13">
        <v>1</v>
      </c>
      <c r="K8" s="74">
        <v>0.75</v>
      </c>
      <c r="L8" s="13">
        <f t="shared" si="0"/>
        <v>0.75</v>
      </c>
      <c r="M8" s="16"/>
    </row>
    <row r="9" spans="1:13" ht="15.5" customHeight="1">
      <c r="A9" s="13" t="s">
        <v>33</v>
      </c>
      <c r="B9" s="14" t="s">
        <v>87</v>
      </c>
      <c r="C9" s="14"/>
      <c r="D9" s="13"/>
      <c r="E9" s="15">
        <v>1</v>
      </c>
      <c r="F9" s="15" t="s">
        <v>19</v>
      </c>
      <c r="G9" s="66" t="s">
        <v>138</v>
      </c>
      <c r="H9" s="13">
        <v>0</v>
      </c>
      <c r="I9" s="76" t="s">
        <v>248</v>
      </c>
      <c r="J9" s="13">
        <v>0</v>
      </c>
      <c r="K9" s="74">
        <v>0.5</v>
      </c>
      <c r="L9" s="13">
        <f t="shared" si="0"/>
        <v>0</v>
      </c>
      <c r="M9" s="16"/>
    </row>
    <row r="10" spans="1:13" ht="15.5" customHeight="1">
      <c r="A10" s="13" t="s">
        <v>34</v>
      </c>
      <c r="B10" s="14" t="s">
        <v>63</v>
      </c>
      <c r="C10" s="14"/>
      <c r="D10" s="13"/>
      <c r="E10" s="15">
        <v>1</v>
      </c>
      <c r="F10" s="15" t="s">
        <v>19</v>
      </c>
      <c r="G10" s="66" t="s">
        <v>143</v>
      </c>
      <c r="H10" s="13">
        <v>0</v>
      </c>
      <c r="I10" s="76" t="s">
        <v>238</v>
      </c>
      <c r="J10" s="13">
        <v>1</v>
      </c>
      <c r="K10" s="74">
        <v>0.05</v>
      </c>
      <c r="L10" s="13">
        <f t="shared" si="0"/>
        <v>0.05</v>
      </c>
      <c r="M10" s="16"/>
    </row>
    <row r="11" spans="1:13" ht="15.5" customHeight="1">
      <c r="A11" s="13" t="s">
        <v>35</v>
      </c>
      <c r="B11" s="14" t="s">
        <v>64</v>
      </c>
      <c r="C11" s="14"/>
      <c r="D11" s="13"/>
      <c r="E11" s="15">
        <v>2</v>
      </c>
      <c r="F11" s="15" t="s">
        <v>18</v>
      </c>
      <c r="H11" s="13">
        <v>0</v>
      </c>
      <c r="I11" s="76"/>
      <c r="J11" s="13"/>
      <c r="K11" s="74"/>
      <c r="L11" s="13" t="str">
        <f t="shared" si="0"/>
        <v xml:space="preserve"> </v>
      </c>
      <c r="M11" s="16"/>
    </row>
    <row r="12" spans="1:13" ht="15.5" customHeight="1">
      <c r="A12" s="13" t="s">
        <v>37</v>
      </c>
      <c r="B12" s="14" t="s">
        <v>65</v>
      </c>
      <c r="C12" s="14"/>
      <c r="D12" s="13"/>
      <c r="E12" s="15">
        <v>2</v>
      </c>
      <c r="F12" s="15" t="s">
        <v>18</v>
      </c>
      <c r="G12" s="15"/>
      <c r="H12" s="13">
        <v>0</v>
      </c>
      <c r="I12" s="76"/>
      <c r="J12" s="13"/>
      <c r="K12" s="74"/>
      <c r="L12" s="13" t="str">
        <f t="shared" si="0"/>
        <v xml:space="preserve"> </v>
      </c>
      <c r="M12" s="16"/>
    </row>
    <row r="13" spans="1:13" ht="15.5" customHeight="1">
      <c r="A13" s="13" t="s">
        <v>38</v>
      </c>
      <c r="B13" s="14" t="s">
        <v>66</v>
      </c>
      <c r="C13" s="14"/>
      <c r="D13" s="13"/>
      <c r="E13" s="15">
        <v>2</v>
      </c>
      <c r="F13" s="15" t="s">
        <v>18</v>
      </c>
      <c r="G13" s="15"/>
      <c r="H13" s="13">
        <v>0</v>
      </c>
      <c r="I13" s="76"/>
      <c r="J13" s="13"/>
      <c r="K13" s="74"/>
      <c r="L13" s="13" t="str">
        <f t="shared" si="0"/>
        <v xml:space="preserve"> </v>
      </c>
      <c r="M13" s="16"/>
    </row>
    <row r="14" spans="1:13" ht="15.5" customHeight="1">
      <c r="A14" s="13" t="s">
        <v>84</v>
      </c>
      <c r="B14" s="14" t="s">
        <v>75</v>
      </c>
      <c r="C14" s="14"/>
      <c r="D14" s="13"/>
      <c r="E14" s="15">
        <v>2</v>
      </c>
      <c r="F14" s="15" t="s">
        <v>18</v>
      </c>
      <c r="G14" s="15"/>
      <c r="H14" s="13">
        <v>0</v>
      </c>
      <c r="I14" s="76"/>
      <c r="J14" s="13"/>
      <c r="K14" s="74"/>
      <c r="L14" s="13" t="str">
        <f t="shared" si="0"/>
        <v xml:space="preserve"> </v>
      </c>
      <c r="M14" s="16"/>
    </row>
    <row r="15" spans="1:13" ht="15.5" customHeight="1">
      <c r="A15" s="13" t="s">
        <v>39</v>
      </c>
      <c r="B15" s="14" t="s">
        <v>53</v>
      </c>
      <c r="C15" s="14"/>
      <c r="D15" s="13"/>
      <c r="E15" s="15">
        <v>3</v>
      </c>
      <c r="F15" s="15" t="s">
        <v>19</v>
      </c>
      <c r="G15" s="66" t="s">
        <v>150</v>
      </c>
      <c r="H15" s="13">
        <v>0</v>
      </c>
      <c r="I15" s="76" t="s">
        <v>239</v>
      </c>
      <c r="J15" s="13">
        <v>3</v>
      </c>
      <c r="K15" s="74">
        <v>0.05</v>
      </c>
      <c r="L15" s="13">
        <f t="shared" si="0"/>
        <v>0.15000000000000002</v>
      </c>
      <c r="M15" s="16"/>
    </row>
    <row r="16" spans="1:13" ht="52.25" customHeight="1">
      <c r="A16" s="13" t="s">
        <v>40</v>
      </c>
      <c r="B16" s="14" t="s">
        <v>54</v>
      </c>
      <c r="C16" s="14"/>
      <c r="D16" s="13"/>
      <c r="E16" s="15">
        <v>3</v>
      </c>
      <c r="F16" s="15" t="s">
        <v>19</v>
      </c>
      <c r="G16" s="66" t="s">
        <v>157</v>
      </c>
      <c r="H16" s="13">
        <v>0</v>
      </c>
      <c r="I16" s="75" t="s">
        <v>240</v>
      </c>
      <c r="J16" s="13">
        <v>2</v>
      </c>
      <c r="K16" s="74">
        <v>0.05</v>
      </c>
      <c r="L16" s="13">
        <f t="shared" si="0"/>
        <v>0.1</v>
      </c>
      <c r="M16" s="16"/>
    </row>
    <row r="17" spans="1:13" ht="36.5" customHeight="1">
      <c r="A17" s="13" t="s">
        <v>41</v>
      </c>
      <c r="B17" s="14" t="s">
        <v>80</v>
      </c>
      <c r="C17" s="14"/>
      <c r="D17" s="13"/>
      <c r="E17" s="15">
        <v>2</v>
      </c>
      <c r="F17" s="15" t="s">
        <v>19</v>
      </c>
      <c r="G17" s="66" t="s">
        <v>160</v>
      </c>
      <c r="H17" s="13">
        <v>0</v>
      </c>
      <c r="I17" s="75" t="s">
        <v>250</v>
      </c>
      <c r="J17" s="13">
        <v>1</v>
      </c>
      <c r="K17" s="74">
        <v>0.9</v>
      </c>
      <c r="L17" s="13">
        <f t="shared" si="0"/>
        <v>0.9</v>
      </c>
      <c r="M17" s="16"/>
    </row>
    <row r="18" spans="1:13" ht="15.5" customHeight="1">
      <c r="A18" s="13" t="s">
        <v>42</v>
      </c>
      <c r="B18" s="14" t="s">
        <v>88</v>
      </c>
      <c r="C18" s="14"/>
      <c r="D18" s="13"/>
      <c r="E18" s="15">
        <v>3</v>
      </c>
      <c r="F18" s="15" t="s">
        <v>18</v>
      </c>
      <c r="G18" s="15"/>
      <c r="H18" s="13">
        <v>0</v>
      </c>
      <c r="I18" s="76"/>
      <c r="J18" s="13"/>
      <c r="K18" s="74"/>
      <c r="L18" s="13" t="str">
        <f t="shared" si="0"/>
        <v xml:space="preserve"> </v>
      </c>
      <c r="M18" s="16"/>
    </row>
    <row r="19" spans="1:13" ht="34.25" customHeight="1">
      <c r="A19" s="13" t="s">
        <v>43</v>
      </c>
      <c r="B19" s="14" t="s">
        <v>95</v>
      </c>
      <c r="C19" s="14"/>
      <c r="D19" s="13"/>
      <c r="E19" s="15">
        <v>2</v>
      </c>
      <c r="F19" s="15" t="s">
        <v>19</v>
      </c>
      <c r="G19" s="66" t="s">
        <v>162</v>
      </c>
      <c r="H19" s="13">
        <v>0</v>
      </c>
      <c r="I19" s="75" t="s">
        <v>246</v>
      </c>
      <c r="J19" s="13">
        <v>3</v>
      </c>
      <c r="K19" s="74">
        <v>0.05</v>
      </c>
      <c r="L19" s="13">
        <f t="shared" si="0"/>
        <v>0.15000000000000002</v>
      </c>
      <c r="M19" s="16"/>
    </row>
    <row r="20" spans="1:13" ht="15.5" customHeight="1">
      <c r="A20" s="13" t="s">
        <v>44</v>
      </c>
      <c r="B20" s="14" t="s">
        <v>89</v>
      </c>
      <c r="C20" s="14"/>
      <c r="D20" s="13"/>
      <c r="E20" s="15">
        <v>2</v>
      </c>
      <c r="F20" s="15" t="s">
        <v>18</v>
      </c>
      <c r="G20" s="15"/>
      <c r="H20" s="13">
        <v>0</v>
      </c>
      <c r="I20" s="76"/>
      <c r="J20" s="13"/>
      <c r="K20" s="74"/>
      <c r="L20" s="13" t="str">
        <f t="shared" si="0"/>
        <v xml:space="preserve"> </v>
      </c>
      <c r="M20" s="16"/>
    </row>
    <row r="21" spans="1:13" ht="15.5" customHeight="1">
      <c r="A21" s="13" t="s">
        <v>45</v>
      </c>
      <c r="B21" s="14" t="s">
        <v>56</v>
      </c>
      <c r="C21" s="14"/>
      <c r="D21" s="13"/>
      <c r="E21" s="15">
        <v>2</v>
      </c>
      <c r="F21" s="15" t="s">
        <v>18</v>
      </c>
      <c r="G21" s="15"/>
      <c r="H21" s="13">
        <v>0</v>
      </c>
      <c r="I21" s="76"/>
      <c r="J21" s="13"/>
      <c r="K21" s="74"/>
      <c r="L21" s="13" t="str">
        <f t="shared" si="0"/>
        <v xml:space="preserve"> </v>
      </c>
      <c r="M21" s="16"/>
    </row>
    <row r="22" spans="1:13" ht="15.5" customHeight="1">
      <c r="A22" s="13" t="s">
        <v>46</v>
      </c>
      <c r="B22" s="14" t="s">
        <v>90</v>
      </c>
      <c r="C22" s="14"/>
      <c r="D22" s="13"/>
      <c r="E22" s="15">
        <v>2</v>
      </c>
      <c r="F22" s="15" t="s">
        <v>18</v>
      </c>
      <c r="G22" s="15"/>
      <c r="H22" s="13">
        <v>0</v>
      </c>
      <c r="I22" s="76"/>
      <c r="J22" s="13"/>
      <c r="K22" s="74"/>
      <c r="L22" s="13" t="str">
        <f t="shared" si="0"/>
        <v xml:space="preserve"> </v>
      </c>
      <c r="M22" s="16"/>
    </row>
    <row r="23" spans="1:13" ht="15.5" hidden="1" customHeight="1">
      <c r="A23" s="13" t="s">
        <v>47</v>
      </c>
      <c r="B23" s="14" t="s">
        <v>57</v>
      </c>
      <c r="C23" s="14"/>
      <c r="D23" s="13"/>
      <c r="E23" s="15">
        <v>3</v>
      </c>
      <c r="F23" s="15" t="s">
        <v>19</v>
      </c>
      <c r="G23" s="66" t="s">
        <v>165</v>
      </c>
      <c r="H23" s="13">
        <v>0</v>
      </c>
      <c r="I23" s="75" t="s">
        <v>241</v>
      </c>
      <c r="J23" s="13">
        <v>3</v>
      </c>
      <c r="K23" s="74">
        <v>0.1</v>
      </c>
      <c r="L23" s="13">
        <f t="shared" si="0"/>
        <v>0.30000000000000004</v>
      </c>
      <c r="M23" s="16"/>
    </row>
    <row r="24" spans="1:13" ht="15.5" customHeight="1">
      <c r="A24" s="13" t="s">
        <v>71</v>
      </c>
      <c r="B24" s="14" t="s">
        <v>81</v>
      </c>
      <c r="C24" s="14"/>
      <c r="D24" s="13"/>
      <c r="E24" s="15">
        <v>3</v>
      </c>
      <c r="F24" s="15" t="s">
        <v>19</v>
      </c>
      <c r="G24" s="66" t="s">
        <v>169</v>
      </c>
      <c r="H24" s="13">
        <v>0</v>
      </c>
      <c r="I24" s="75" t="s">
        <v>247</v>
      </c>
      <c r="J24" s="13">
        <v>3</v>
      </c>
      <c r="K24" s="74">
        <v>0.3</v>
      </c>
      <c r="L24" s="13">
        <f t="shared" si="0"/>
        <v>0.89999999999999991</v>
      </c>
      <c r="M24" s="16"/>
    </row>
    <row r="25" spans="1:13" ht="68.5" customHeight="1">
      <c r="A25" s="13" t="s">
        <v>73</v>
      </c>
      <c r="B25" s="14" t="s">
        <v>85</v>
      </c>
      <c r="C25" s="14"/>
      <c r="D25" s="13"/>
      <c r="E25" s="15">
        <v>3</v>
      </c>
      <c r="F25" s="15" t="s">
        <v>19</v>
      </c>
      <c r="G25" s="66" t="s">
        <v>172</v>
      </c>
      <c r="H25" s="13">
        <v>0</v>
      </c>
      <c r="I25" s="75" t="s">
        <v>249</v>
      </c>
      <c r="J25" s="13">
        <v>2</v>
      </c>
      <c r="K25" s="74">
        <v>0.5</v>
      </c>
      <c r="L25" s="13">
        <f t="shared" si="0"/>
        <v>1</v>
      </c>
      <c r="M25" s="16"/>
    </row>
    <row r="26" spans="1:13" ht="85.75" customHeight="1">
      <c r="A26" s="13" t="s">
        <v>103</v>
      </c>
      <c r="B26" s="73" t="s">
        <v>218</v>
      </c>
      <c r="C26" s="14"/>
      <c r="D26" s="13"/>
      <c r="E26" s="15">
        <v>2</v>
      </c>
      <c r="F26" s="15" t="s">
        <v>18</v>
      </c>
      <c r="G26" s="15"/>
      <c r="H26" s="13">
        <v>0</v>
      </c>
      <c r="I26" s="76"/>
      <c r="J26" s="13"/>
      <c r="K26" s="74"/>
      <c r="L26" s="13" t="str">
        <f t="shared" si="0"/>
        <v xml:space="preserve"> </v>
      </c>
      <c r="M26" s="16"/>
    </row>
    <row r="27" spans="1:13" ht="15.5" customHeight="1">
      <c r="A27" s="13" t="s">
        <v>48</v>
      </c>
      <c r="B27" s="14" t="s">
        <v>58</v>
      </c>
      <c r="C27" s="14"/>
      <c r="D27" s="13"/>
      <c r="E27" s="15">
        <v>1</v>
      </c>
      <c r="F27" s="15" t="s">
        <v>18</v>
      </c>
      <c r="G27" s="15"/>
      <c r="H27" s="13">
        <v>0</v>
      </c>
      <c r="I27" s="76"/>
      <c r="J27" s="13"/>
      <c r="K27" s="74"/>
      <c r="L27" s="13" t="str">
        <f t="shared" si="0"/>
        <v xml:space="preserve"> </v>
      </c>
      <c r="M27" s="16"/>
    </row>
    <row r="28" spans="1:13" ht="15.5" customHeight="1">
      <c r="A28" s="13" t="s">
        <v>49</v>
      </c>
      <c r="B28" s="14" t="s">
        <v>59</v>
      </c>
      <c r="C28" s="14"/>
      <c r="D28" s="13"/>
      <c r="E28" s="15">
        <v>1</v>
      </c>
      <c r="F28" s="15" t="s">
        <v>18</v>
      </c>
      <c r="G28" s="15"/>
      <c r="H28" s="13">
        <v>0</v>
      </c>
      <c r="I28" s="76"/>
      <c r="J28" s="13"/>
      <c r="K28" s="74"/>
      <c r="L28" s="13" t="str">
        <f t="shared" si="0"/>
        <v xml:space="preserve"> </v>
      </c>
      <c r="M28" s="16"/>
    </row>
    <row r="29" spans="1:13" ht="15.5" customHeight="1"/>
    <row r="30" spans="1:13" ht="15.5" customHeight="1"/>
    <row r="31" spans="1:13">
      <c r="E31" s="9"/>
    </row>
  </sheetData>
  <phoneticPr fontId="1" type="noConversion"/>
  <conditionalFormatting sqref="H26:L28 L2:L25 H2:I25">
    <cfRule type="colorScale" priority="4">
      <colorScale>
        <cfvo type="num" val="0"/>
        <cfvo type="percentile" val="50"/>
        <cfvo type="num" val="100"/>
        <color rgb="FFFF0000"/>
        <color rgb="FFFFEB84"/>
        <color rgb="FF63BE7B"/>
      </colorScale>
    </cfRule>
  </conditionalFormatting>
  <conditionalFormatting sqref="L2:L28">
    <cfRule type="colorScale" priority="9">
      <colorScale>
        <cfvo type="min"/>
        <cfvo type="percentile" val="50"/>
        <cfvo type="max"/>
        <color rgb="FF00B050"/>
        <color rgb="FFFFEB84"/>
        <color rgb="FFFF0000"/>
      </colorScale>
    </cfRule>
  </conditionalFormatting>
  <conditionalFormatting sqref="J2:J28">
    <cfRule type="colorScale" priority="11">
      <colorScale>
        <cfvo type="percent" val="0"/>
        <cfvo type="percentile" val="50"/>
        <cfvo type="percent" val="100"/>
        <color rgb="FF00B050"/>
        <color rgb="FFFFEB84"/>
        <color rgb="FFFF0000"/>
      </colorScale>
    </cfRule>
  </conditionalFormatting>
  <conditionalFormatting sqref="K2:K28">
    <cfRule type="colorScale" priority="13">
      <colorScale>
        <cfvo type="percent" val="0"/>
        <cfvo type="percent" val="50"/>
        <cfvo type="percent" val="100"/>
        <color rgb="FF00B050"/>
        <color rgb="FFFFEB84"/>
        <color rgb="FFFF0000"/>
      </colorScale>
    </cfRule>
  </conditionalFormatting>
  <hyperlinks>
    <hyperlink ref="G2" location="'Test Plan'!A3" display="T-FUNC-001"/>
    <hyperlink ref="G3" location="'Test Plan'!A8" display="T-FUNC-002"/>
    <hyperlink ref="G4" location="'Test Plan'!A13" display="T-FUNC-003"/>
    <hyperlink ref="G5" location="'Test Plan'!A16" display="T-FUNC-004"/>
    <hyperlink ref="G8" location="'Test Plan'!A18" display="T-FUNC-005"/>
    <hyperlink ref="G9" location="'Test Plan'!A24" display="T-FUNC-006"/>
    <hyperlink ref="G10" location="'Test Plan'!A26" display="T-FUNC-007"/>
    <hyperlink ref="G15" location="'Test Plan'!A29" display="T-FUNC-009"/>
    <hyperlink ref="G16" location="'Test Plan'!A31" display="T-FUNC-010"/>
    <hyperlink ref="G17" location="'Test Plan'!A32" display="T-FUNC-011"/>
    <hyperlink ref="G19" location="'Test Plan'!A33" display="T-FUNC-012"/>
    <hyperlink ref="G23" location="'Test Plan'!A34" display="T-FUNC-013"/>
    <hyperlink ref="G24" location="'Test Plan'!A35" display="T-FUNC-014"/>
    <hyperlink ref="G25" location="'Test Plan'!A36" display="T-FUNC-015"/>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zoomScale="85" zoomScaleNormal="85" zoomScalePageLayoutView="85" workbookViewId="0">
      <selection activeCell="P21" sqref="P21"/>
    </sheetView>
  </sheetViews>
  <sheetFormatPr baseColWidth="10" defaultColWidth="11.1640625" defaultRowHeight="15" x14ac:dyDescent="0"/>
  <sheetData>
    <row r="1" spans="1:1" ht="20" thickBot="1">
      <c r="A1" s="19" t="s">
        <v>104</v>
      </c>
    </row>
    <row r="2" spans="1:1" ht="16"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C10"/>
  <sheetViews>
    <sheetView zoomScale="130" zoomScaleNormal="130" zoomScalePageLayoutView="130" workbookViewId="0">
      <selection activeCell="A6" sqref="A6"/>
    </sheetView>
  </sheetViews>
  <sheetFormatPr baseColWidth="10" defaultColWidth="11.1640625" defaultRowHeight="15" x14ac:dyDescent="0"/>
  <cols>
    <col min="1" max="1" width="19.6640625" bestFit="1" customWidth="1"/>
    <col min="3" max="3" width="36.6640625" customWidth="1"/>
  </cols>
  <sheetData>
    <row r="1" spans="1:3">
      <c r="A1" t="s">
        <v>67</v>
      </c>
      <c r="B1" t="s">
        <v>68</v>
      </c>
      <c r="C1" t="s">
        <v>15</v>
      </c>
    </row>
    <row r="2" spans="1:3">
      <c r="A2" t="s">
        <v>69</v>
      </c>
      <c r="B2" t="s">
        <v>70</v>
      </c>
      <c r="C2" t="s">
        <v>74</v>
      </c>
    </row>
    <row r="3" spans="1:3">
      <c r="A3" t="s">
        <v>72</v>
      </c>
      <c r="B3" t="s">
        <v>82</v>
      </c>
      <c r="C3" t="s">
        <v>83</v>
      </c>
    </row>
    <row r="4" spans="1:3">
      <c r="A4" t="s">
        <v>76</v>
      </c>
      <c r="B4" t="s">
        <v>78</v>
      </c>
    </row>
    <row r="5" spans="1:3">
      <c r="A5" t="s">
        <v>77</v>
      </c>
      <c r="B5" t="s">
        <v>79</v>
      </c>
    </row>
    <row r="6" spans="1:3">
      <c r="A6" t="s">
        <v>92</v>
      </c>
      <c r="B6" t="s">
        <v>93</v>
      </c>
    </row>
    <row r="7" spans="1:3">
      <c r="A7" t="s">
        <v>94</v>
      </c>
      <c r="B7" t="s">
        <v>60</v>
      </c>
    </row>
    <row r="8" spans="1:3">
      <c r="A8" t="s">
        <v>96</v>
      </c>
      <c r="B8" t="s">
        <v>98</v>
      </c>
      <c r="C8" t="s">
        <v>97</v>
      </c>
    </row>
    <row r="9" spans="1:3">
      <c r="A9" t="s">
        <v>100</v>
      </c>
      <c r="B9" t="s">
        <v>101</v>
      </c>
      <c r="C9" t="s">
        <v>102</v>
      </c>
    </row>
    <row r="10" spans="1:3">
      <c r="A10" t="s">
        <v>192</v>
      </c>
      <c r="B10" s="57">
        <v>0.3</v>
      </c>
      <c r="C10" t="s">
        <v>191</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7"/>
  <sheetViews>
    <sheetView topLeftCell="A22" workbookViewId="0">
      <selection activeCell="C6" sqref="C6"/>
    </sheetView>
  </sheetViews>
  <sheetFormatPr baseColWidth="10" defaultColWidth="8.83203125" defaultRowHeight="15" x14ac:dyDescent="0"/>
  <cols>
    <col min="1" max="1" width="18.83203125" customWidth="1"/>
    <col min="2" max="2" width="36.5" customWidth="1"/>
    <col min="3" max="3" width="52.5" customWidth="1"/>
    <col min="4" max="4" width="47.5" customWidth="1"/>
    <col min="5" max="5" width="31.83203125" customWidth="1"/>
  </cols>
  <sheetData>
    <row r="1" spans="1:9" ht="20">
      <c r="A1" s="86" t="s">
        <v>23</v>
      </c>
      <c r="B1" s="87"/>
      <c r="C1" s="87"/>
      <c r="D1" s="87"/>
      <c r="E1" s="88"/>
      <c r="F1" s="10"/>
      <c r="G1" s="10"/>
      <c r="H1" s="10"/>
      <c r="I1" s="10"/>
    </row>
    <row r="2" spans="1:9" ht="16" thickBot="1">
      <c r="A2" s="49" t="s">
        <v>20</v>
      </c>
      <c r="B2" s="50" t="s">
        <v>14</v>
      </c>
      <c r="C2" s="51" t="s">
        <v>21</v>
      </c>
      <c r="D2" s="50" t="s">
        <v>179</v>
      </c>
      <c r="E2" s="52" t="s">
        <v>22</v>
      </c>
    </row>
    <row r="3" spans="1:9" ht="46" thickBot="1">
      <c r="A3" s="89" t="s">
        <v>108</v>
      </c>
      <c r="B3" s="91" t="s">
        <v>26</v>
      </c>
      <c r="C3" s="20" t="s">
        <v>202</v>
      </c>
      <c r="D3" s="21" t="s">
        <v>216</v>
      </c>
      <c r="E3" s="53" t="s">
        <v>215</v>
      </c>
    </row>
    <row r="4" spans="1:9" ht="61" thickBot="1">
      <c r="A4" s="90"/>
      <c r="B4" s="92"/>
      <c r="C4" s="67" t="s">
        <v>214</v>
      </c>
      <c r="D4" s="23" t="s">
        <v>217</v>
      </c>
      <c r="E4" s="53" t="s">
        <v>215</v>
      </c>
    </row>
    <row r="5" spans="1:9" ht="46" thickBot="1">
      <c r="A5" s="90"/>
      <c r="B5" s="92"/>
      <c r="C5" s="24" t="s">
        <v>213</v>
      </c>
      <c r="D5" s="25" t="s">
        <v>219</v>
      </c>
      <c r="E5" s="53" t="s">
        <v>215</v>
      </c>
    </row>
    <row r="6" spans="1:9" ht="46" thickBot="1">
      <c r="A6" s="90"/>
      <c r="B6" s="92"/>
      <c r="C6" s="24" t="s">
        <v>109</v>
      </c>
      <c r="D6" s="25" t="s">
        <v>220</v>
      </c>
      <c r="E6" s="53" t="s">
        <v>215</v>
      </c>
    </row>
    <row r="7" spans="1:9" ht="61" thickBot="1">
      <c r="A7" s="90"/>
      <c r="B7" s="92"/>
      <c r="C7" s="24" t="s">
        <v>110</v>
      </c>
      <c r="D7" s="25" t="s">
        <v>221</v>
      </c>
      <c r="E7" s="53" t="s">
        <v>215</v>
      </c>
    </row>
    <row r="8" spans="1:9" ht="61" thickBot="1">
      <c r="A8" s="93" t="s">
        <v>111</v>
      </c>
      <c r="B8" s="96" t="s">
        <v>27</v>
      </c>
      <c r="C8" s="26" t="s">
        <v>112</v>
      </c>
      <c r="D8" s="56" t="s">
        <v>203</v>
      </c>
      <c r="E8" s="56" t="s">
        <v>119</v>
      </c>
    </row>
    <row r="9" spans="1:9" ht="61" thickBot="1">
      <c r="A9" s="94"/>
      <c r="B9" s="97"/>
      <c r="C9" s="27" t="s">
        <v>113</v>
      </c>
      <c r="D9" s="56" t="s">
        <v>204</v>
      </c>
      <c r="E9" s="56" t="s">
        <v>119</v>
      </c>
    </row>
    <row r="10" spans="1:9" ht="61" thickBot="1">
      <c r="A10" s="94"/>
      <c r="B10" s="97"/>
      <c r="C10" s="27" t="s">
        <v>114</v>
      </c>
      <c r="D10" s="56" t="s">
        <v>196</v>
      </c>
      <c r="E10" s="56" t="s">
        <v>119</v>
      </c>
    </row>
    <row r="11" spans="1:9" ht="61" thickBot="1">
      <c r="A11" s="94"/>
      <c r="B11" s="97"/>
      <c r="C11" s="27" t="s">
        <v>115</v>
      </c>
      <c r="D11" s="56" t="s">
        <v>205</v>
      </c>
      <c r="E11" s="56" t="s">
        <v>119</v>
      </c>
    </row>
    <row r="12" spans="1:9" ht="61" thickBot="1">
      <c r="A12" s="95"/>
      <c r="B12" s="98"/>
      <c r="C12" s="29" t="s">
        <v>116</v>
      </c>
      <c r="D12" s="62" t="s">
        <v>222</v>
      </c>
      <c r="E12" s="56" t="s">
        <v>119</v>
      </c>
    </row>
    <row r="13" spans="1:9" ht="106" thickBot="1">
      <c r="A13" s="89" t="s">
        <v>117</v>
      </c>
      <c r="B13" s="91" t="s">
        <v>28</v>
      </c>
      <c r="C13" s="20" t="s">
        <v>118</v>
      </c>
      <c r="D13" s="21" t="s">
        <v>223</v>
      </c>
      <c r="E13" s="21" t="s">
        <v>119</v>
      </c>
    </row>
    <row r="14" spans="1:9" ht="121" thickBot="1">
      <c r="A14" s="90"/>
      <c r="B14" s="92"/>
      <c r="C14" s="22" t="s">
        <v>120</v>
      </c>
      <c r="D14" s="23" t="s">
        <v>224</v>
      </c>
      <c r="E14" s="21" t="s">
        <v>119</v>
      </c>
    </row>
    <row r="15" spans="1:9" ht="91" thickBot="1">
      <c r="A15" s="90"/>
      <c r="B15" s="92"/>
      <c r="C15" s="22" t="s">
        <v>121</v>
      </c>
      <c r="D15" s="23" t="s">
        <v>225</v>
      </c>
      <c r="E15" s="21" t="s">
        <v>122</v>
      </c>
    </row>
    <row r="16" spans="1:9" ht="61" thickBot="1">
      <c r="A16" s="93" t="s">
        <v>123</v>
      </c>
      <c r="B16" s="96" t="s">
        <v>29</v>
      </c>
      <c r="C16" s="26" t="s">
        <v>124</v>
      </c>
      <c r="D16" s="56" t="s">
        <v>226</v>
      </c>
      <c r="E16" s="26" t="s">
        <v>125</v>
      </c>
    </row>
    <row r="17" spans="1:5" ht="61" thickBot="1">
      <c r="A17" s="94"/>
      <c r="B17" s="97"/>
      <c r="C17" s="30" t="s">
        <v>126</v>
      </c>
      <c r="D17" s="43" t="s">
        <v>227</v>
      </c>
      <c r="E17" s="28" t="s">
        <v>125</v>
      </c>
    </row>
    <row r="18" spans="1:5" ht="45">
      <c r="A18" s="99" t="s">
        <v>127</v>
      </c>
      <c r="B18" s="101" t="s">
        <v>32</v>
      </c>
      <c r="C18" s="31" t="s">
        <v>128</v>
      </c>
      <c r="D18" s="20" t="s">
        <v>129</v>
      </c>
      <c r="E18" s="21" t="s">
        <v>130</v>
      </c>
    </row>
    <row r="19" spans="1:5" ht="45">
      <c r="A19" s="90"/>
      <c r="B19" s="102"/>
      <c r="C19" s="32" t="s">
        <v>131</v>
      </c>
      <c r="D19" s="33" t="s">
        <v>132</v>
      </c>
      <c r="E19" s="23" t="s">
        <v>133</v>
      </c>
    </row>
    <row r="20" spans="1:5" ht="60">
      <c r="A20" s="90"/>
      <c r="B20" s="102"/>
      <c r="C20" s="32" t="s">
        <v>134</v>
      </c>
      <c r="D20" s="34" t="s">
        <v>197</v>
      </c>
      <c r="E20" s="23" t="s">
        <v>130</v>
      </c>
    </row>
    <row r="21" spans="1:5" ht="75">
      <c r="A21" s="90"/>
      <c r="B21" s="102"/>
      <c r="C21" s="32" t="s">
        <v>135</v>
      </c>
      <c r="D21" s="33" t="s">
        <v>206</v>
      </c>
      <c r="E21" s="23" t="s">
        <v>133</v>
      </c>
    </row>
    <row r="22" spans="1:5" ht="30">
      <c r="A22" s="90"/>
      <c r="B22" s="102"/>
      <c r="C22" s="32" t="s">
        <v>136</v>
      </c>
      <c r="D22" s="33" t="s">
        <v>207</v>
      </c>
      <c r="E22" s="23" t="s">
        <v>228</v>
      </c>
    </row>
    <row r="23" spans="1:5" ht="76" thickBot="1">
      <c r="A23" s="100"/>
      <c r="B23" s="103"/>
      <c r="C23" s="35" t="s">
        <v>137</v>
      </c>
      <c r="D23" s="63" t="s">
        <v>208</v>
      </c>
      <c r="E23" s="23" t="s">
        <v>228</v>
      </c>
    </row>
    <row r="24" spans="1:5" ht="60">
      <c r="A24" s="93" t="s">
        <v>138</v>
      </c>
      <c r="B24" s="96" t="s">
        <v>33</v>
      </c>
      <c r="C24" s="36" t="s">
        <v>139</v>
      </c>
      <c r="D24" s="43" t="s">
        <v>229</v>
      </c>
      <c r="E24" s="26" t="s">
        <v>140</v>
      </c>
    </row>
    <row r="25" spans="1:5" ht="61" thickBot="1">
      <c r="A25" s="94"/>
      <c r="B25" s="97"/>
      <c r="C25" s="37" t="s">
        <v>141</v>
      </c>
      <c r="D25" s="64" t="s">
        <v>230</v>
      </c>
      <c r="E25" s="28" t="s">
        <v>142</v>
      </c>
    </row>
    <row r="26" spans="1:5" ht="90">
      <c r="A26" s="99" t="s">
        <v>143</v>
      </c>
      <c r="B26" s="101" t="s">
        <v>34</v>
      </c>
      <c r="C26" s="31" t="s">
        <v>144</v>
      </c>
      <c r="D26" s="20" t="s">
        <v>209</v>
      </c>
      <c r="E26" s="21" t="s">
        <v>145</v>
      </c>
    </row>
    <row r="27" spans="1:5" ht="49" thickBot="1">
      <c r="A27" s="100"/>
      <c r="B27" s="103"/>
      <c r="C27" s="38" t="s">
        <v>146</v>
      </c>
      <c r="D27" s="39" t="s">
        <v>210</v>
      </c>
      <c r="E27" s="40" t="s">
        <v>147</v>
      </c>
    </row>
    <row r="28" spans="1:5" ht="121" thickBot="1">
      <c r="A28" s="68" t="s">
        <v>148</v>
      </c>
      <c r="B28" s="41" t="s">
        <v>36</v>
      </c>
      <c r="C28" s="42" t="s">
        <v>149</v>
      </c>
      <c r="D28" s="43" t="s">
        <v>211</v>
      </c>
      <c r="E28" s="43" t="s">
        <v>212</v>
      </c>
    </row>
    <row r="29" spans="1:5" ht="45">
      <c r="A29" s="99" t="s">
        <v>150</v>
      </c>
      <c r="B29" s="101" t="s">
        <v>39</v>
      </c>
      <c r="C29" s="31" t="s">
        <v>151</v>
      </c>
      <c r="D29" s="20" t="s">
        <v>152</v>
      </c>
      <c r="E29" s="21" t="s">
        <v>153</v>
      </c>
    </row>
    <row r="30" spans="1:5" ht="46" thickBot="1">
      <c r="A30" s="100"/>
      <c r="B30" s="103"/>
      <c r="C30" s="38" t="s">
        <v>154</v>
      </c>
      <c r="D30" s="39" t="s">
        <v>155</v>
      </c>
      <c r="E30" s="40" t="s">
        <v>156</v>
      </c>
    </row>
    <row r="31" spans="1:5" ht="46" thickBot="1">
      <c r="A31" s="69" t="s">
        <v>157</v>
      </c>
      <c r="B31" s="44" t="s">
        <v>40</v>
      </c>
      <c r="C31" s="45" t="s">
        <v>158</v>
      </c>
      <c r="D31" s="46" t="s">
        <v>193</v>
      </c>
      <c r="E31" s="47" t="s">
        <v>159</v>
      </c>
    </row>
    <row r="32" spans="1:5" ht="16" thickBot="1">
      <c r="A32" s="70" t="s">
        <v>160</v>
      </c>
      <c r="B32" s="60" t="s">
        <v>41</v>
      </c>
      <c r="C32" s="61" t="s">
        <v>161</v>
      </c>
      <c r="D32" s="59"/>
      <c r="E32" s="48"/>
    </row>
    <row r="33" spans="1:5" ht="91" thickBot="1">
      <c r="A33" s="69" t="s">
        <v>162</v>
      </c>
      <c r="B33" s="44" t="s">
        <v>43</v>
      </c>
      <c r="C33" s="45" t="s">
        <v>163</v>
      </c>
      <c r="D33" s="46" t="s">
        <v>194</v>
      </c>
      <c r="E33" s="46" t="s">
        <v>164</v>
      </c>
    </row>
    <row r="34" spans="1:5" ht="106" thickBot="1">
      <c r="A34" s="71" t="s">
        <v>165</v>
      </c>
      <c r="B34" s="60" t="s">
        <v>47</v>
      </c>
      <c r="C34" s="61" t="s">
        <v>166</v>
      </c>
      <c r="D34" s="59" t="s">
        <v>167</v>
      </c>
      <c r="E34" s="58" t="s">
        <v>168</v>
      </c>
    </row>
    <row r="35" spans="1:5" ht="61" thickBot="1">
      <c r="A35" s="72" t="s">
        <v>169</v>
      </c>
      <c r="B35" s="44" t="s">
        <v>71</v>
      </c>
      <c r="C35" s="45" t="s">
        <v>170</v>
      </c>
      <c r="D35" s="46" t="s">
        <v>195</v>
      </c>
      <c r="E35" s="47" t="s">
        <v>171</v>
      </c>
    </row>
    <row r="36" spans="1:5" ht="61" thickBot="1">
      <c r="A36" s="99" t="s">
        <v>172</v>
      </c>
      <c r="B36" s="101" t="s">
        <v>73</v>
      </c>
      <c r="C36" s="31" t="s">
        <v>173</v>
      </c>
      <c r="D36" s="20" t="s">
        <v>174</v>
      </c>
      <c r="E36" s="21" t="s">
        <v>175</v>
      </c>
    </row>
    <row r="37" spans="1:5" ht="76" thickBot="1">
      <c r="A37" s="100"/>
      <c r="B37" s="103"/>
      <c r="C37" s="38" t="s">
        <v>176</v>
      </c>
      <c r="D37" s="39" t="s">
        <v>177</v>
      </c>
      <c r="E37" s="21" t="s">
        <v>178</v>
      </c>
    </row>
  </sheetData>
  <mergeCells count="19">
    <mergeCell ref="A36:A37"/>
    <mergeCell ref="B36:B37"/>
    <mergeCell ref="A24:A25"/>
    <mergeCell ref="B24:B25"/>
    <mergeCell ref="A26:A27"/>
    <mergeCell ref="B26:B27"/>
    <mergeCell ref="A29:A30"/>
    <mergeCell ref="B29:B30"/>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hyperlink ref="A8:A12" location="Requirements!A3" display="T-FUNC-002"/>
    <hyperlink ref="A13:A15" location="Requirements!A4" display="T-FUNC-003"/>
    <hyperlink ref="A16:A17" location="Requirements!A5" display="T-FUNC-004"/>
    <hyperlink ref="A18:A23" location="Requirements!A8" display="T-FUNC-005"/>
    <hyperlink ref="A24:A25" location="Requirements!A9" display="T-FUNC-006"/>
    <hyperlink ref="A26:A27" location="Requirements!A10" display="T-FUNC-007"/>
    <hyperlink ref="A28" location="Requirements!A12" display="T-FUNC-008"/>
    <hyperlink ref="A29:A30" location="Requirements!A16" display="T-FUNC-009"/>
    <hyperlink ref="A31" location="Requirements!A17" display="T-FUNC-010"/>
    <hyperlink ref="A32" location="Requirements!A18" display="T-FUNC-011"/>
    <hyperlink ref="A33" location="Requirements!A20" display="T-FUNC-012"/>
    <hyperlink ref="A34" location="Requirements!A24" display="T-FUNC-013"/>
    <hyperlink ref="A35" location="Requirements!A25" display="T-FUNC-014"/>
    <hyperlink ref="A36:A37" location="Requirements!A26" display="T-FUNC-015"/>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10"/>
  <sheetViews>
    <sheetView workbookViewId="0">
      <selection activeCell="B9" sqref="B9:B10"/>
    </sheetView>
  </sheetViews>
  <sheetFormatPr baseColWidth="10" defaultColWidth="8.83203125" defaultRowHeight="15" x14ac:dyDescent="0"/>
  <cols>
    <col min="3" max="3" width="23.83203125" customWidth="1"/>
    <col min="4" max="4" width="44.6640625" customWidth="1"/>
  </cols>
  <sheetData>
    <row r="3" spans="1:4">
      <c r="B3" t="s">
        <v>180</v>
      </c>
      <c r="C3" t="s">
        <v>181</v>
      </c>
      <c r="D3" t="s">
        <v>15</v>
      </c>
    </row>
    <row r="4" spans="1:4">
      <c r="B4" s="11">
        <v>1</v>
      </c>
      <c r="C4" s="54" t="s">
        <v>186</v>
      </c>
      <c r="D4" s="55" t="s">
        <v>187</v>
      </c>
    </row>
    <row r="5" spans="1:4">
      <c r="B5" s="11">
        <v>2</v>
      </c>
      <c r="C5" s="54" t="s">
        <v>188</v>
      </c>
      <c r="D5" s="55" t="s">
        <v>189</v>
      </c>
    </row>
    <row r="6" spans="1:4">
      <c r="B6" s="11">
        <v>3</v>
      </c>
      <c r="C6" s="54" t="s">
        <v>198</v>
      </c>
      <c r="D6" s="55" t="s">
        <v>199</v>
      </c>
    </row>
    <row r="7" spans="1:4" ht="45">
      <c r="B7" s="11">
        <v>4</v>
      </c>
      <c r="C7" s="54" t="s">
        <v>184</v>
      </c>
      <c r="D7" s="55" t="s">
        <v>185</v>
      </c>
    </row>
    <row r="8" spans="1:4">
      <c r="B8" s="11">
        <v>5</v>
      </c>
      <c r="C8" s="54" t="s">
        <v>190</v>
      </c>
      <c r="D8" s="55" t="s">
        <v>191</v>
      </c>
    </row>
    <row r="9" spans="1:4">
      <c r="A9" s="65"/>
      <c r="B9" s="11">
        <v>6</v>
      </c>
      <c r="C9" s="54" t="s">
        <v>182</v>
      </c>
      <c r="D9" s="55" t="s">
        <v>183</v>
      </c>
    </row>
    <row r="10" spans="1:4">
      <c r="B10" s="11">
        <v>7</v>
      </c>
      <c r="C10" s="54" t="s">
        <v>231</v>
      </c>
      <c r="D10" s="55" t="s">
        <v>232</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Juliane Müller</cp:lastModifiedBy>
  <dcterms:created xsi:type="dcterms:W3CDTF">2016-10-10T10:45:47Z</dcterms:created>
  <dcterms:modified xsi:type="dcterms:W3CDTF">2018-12-10T06:56:44Z</dcterms:modified>
</cp:coreProperties>
</file>