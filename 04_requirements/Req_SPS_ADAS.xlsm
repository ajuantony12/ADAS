
<file path=[Content_Types].xml><?xml version="1.0" encoding="utf-8"?>
<Types xmlns="http://schemas.openxmlformats.org/package/2006/content-types">
  <Default Extension="png" ContentType="image/png"/>
  <Override PartName="/xl/tables/table3.xml" ContentType="application/vnd.openxmlformats-officedocument.spreadsheetml.table+xml"/>
  <Default Extension="bin" ContentType="application/vnd.ms-office.vbaProject"/>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xl/worksheets/sheet6.xml" ContentType="application/vnd.openxmlformats-officedocument.spreadsheetml.worksheet+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7" rupBuild="4507" codeName="{2AF44A5B-4F9A-30C1-5B58-47010ADB2D0F}"/>
  <workbookPr codeName="ThisWorkbook" autoCompressPictures="0"/>
  <bookViews>
    <workbookView xWindow="0" yWindow="0" windowWidth="20730" windowHeight="11760" tabRatio="500" activeTab="4"/>
  </bookViews>
  <sheets>
    <sheet name="Cover Sheet" sheetId="4" r:id="rId1"/>
    <sheet name="Requirements" sheetId="2" r:id="rId2"/>
    <sheet name="Architecture" sheetId="10" r:id="rId3"/>
    <sheet name="Parameters" sheetId="9" r:id="rId4"/>
    <sheet name="Test Spec" sheetId="6" r:id="rId5"/>
    <sheet name="Glossary" sheetId="11" r:id="rId6"/>
  </sheets>
  <definedNames>
    <definedName name="_xlnm._FilterDatabase" localSheetId="1" hidden="1">Requirements!$A$1:$M$28</definedName>
    <definedName name="Simulink_requirement_item_1">#REF!</definedName>
  </definedNames>
  <calcPr calcId="125725" concurrentCalc="0"/>
  <extLst>
    <ext xmlns:mx="http://schemas.microsoft.com/office/mac/excel/2008/main" uri="{7523E5D3-25F3-A5E0-1632-64F254C22452}">
      <mx:ArchID Flags="2"/>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3" i="2"/>
  <c r="L4"/>
  <c r="L5"/>
  <c r="L6"/>
  <c r="L7"/>
  <c r="L8"/>
  <c r="L9"/>
  <c r="L10"/>
  <c r="L11"/>
  <c r="L12"/>
  <c r="L13"/>
  <c r="L14"/>
  <c r="L15"/>
  <c r="L16"/>
  <c r="L17"/>
  <c r="L18"/>
  <c r="L19"/>
  <c r="L20"/>
  <c r="L21"/>
  <c r="L22"/>
  <c r="L23"/>
  <c r="L24"/>
  <c r="L25"/>
  <c r="L26"/>
  <c r="L27"/>
  <c r="L28"/>
  <c r="L2"/>
</calcChain>
</file>

<file path=xl/comments1.xml><?xml version="1.0" encoding="utf-8"?>
<comments xmlns="http://schemas.openxmlformats.org/spreadsheetml/2006/main">
  <authors>
    <author>Aju Jose</author>
  </authors>
  <commentList>
    <comment ref="A33" authorId="0">
      <text>
        <r>
          <rPr>
            <b/>
            <sz val="9"/>
            <color indexed="81"/>
            <rFont val="Tahoma"/>
            <charset val="1"/>
          </rPr>
          <t>Aju Jose:</t>
        </r>
        <r>
          <rPr>
            <sz val="9"/>
            <color indexed="81"/>
            <rFont val="Tahoma"/>
            <charset val="1"/>
          </rPr>
          <t xml:space="preserve">
testing method not finalised</t>
        </r>
      </text>
    </comment>
    <comment ref="A36" authorId="0">
      <text>
        <r>
          <rPr>
            <b/>
            <sz val="9"/>
            <color indexed="81"/>
            <rFont val="Tahoma"/>
            <charset val="1"/>
          </rPr>
          <t>Aju Jose:</t>
        </r>
        <r>
          <rPr>
            <sz val="9"/>
            <color indexed="81"/>
            <rFont val="Tahoma"/>
            <charset val="1"/>
          </rPr>
          <t xml:space="preserve">
testing method not finalised</t>
        </r>
      </text>
    </comment>
  </commentList>
</comments>
</file>

<file path=xl/sharedStrings.xml><?xml version="1.0" encoding="utf-8"?>
<sst xmlns="http://schemas.openxmlformats.org/spreadsheetml/2006/main" count="330" uniqueCount="254">
  <si>
    <t>Title</t>
  </si>
  <si>
    <t>Document updates</t>
  </si>
  <si>
    <t>Sl Nr./
Version</t>
  </si>
  <si>
    <t>Short description of changes</t>
  </si>
  <si>
    <t>Author</t>
  </si>
  <si>
    <t>Date</t>
  </si>
  <si>
    <t>Draft</t>
  </si>
  <si>
    <t>Initial version</t>
  </si>
  <si>
    <t>Project Name:</t>
  </si>
  <si>
    <t>Remark</t>
  </si>
  <si>
    <t>System Performance Specification</t>
  </si>
  <si>
    <t>This document provides the requirements for the system</t>
  </si>
  <si>
    <t>This documents details all requirements which apply to the system. All items are listed with Title, Description, Status etc. This document is updated on weekly basis enlisting item performed during the week.</t>
  </si>
  <si>
    <t>Req.ID</t>
  </si>
  <si>
    <t>Requirement</t>
  </si>
  <si>
    <t>Description</t>
  </si>
  <si>
    <t>% Maturity</t>
  </si>
  <si>
    <t>Functional Req. ?</t>
  </si>
  <si>
    <t>no</t>
  </si>
  <si>
    <t>yes</t>
  </si>
  <si>
    <t>Test_ID</t>
  </si>
  <si>
    <t>Test Case</t>
  </si>
  <si>
    <t>Acceptance Criteria/Solution</t>
  </si>
  <si>
    <t>TEST PLAN</t>
  </si>
  <si>
    <t>Associated
Test ID</t>
  </si>
  <si>
    <t>ADAS</t>
  </si>
  <si>
    <t>ADAS-SW-1</t>
  </si>
  <si>
    <t>ADAS-SW-2</t>
  </si>
  <si>
    <t>ADAS-SW-3</t>
  </si>
  <si>
    <t>ADAS-SW-4</t>
  </si>
  <si>
    <t>ADAS-SW-5</t>
  </si>
  <si>
    <t>ADAS-SW-6</t>
  </si>
  <si>
    <t>ADAS-SW-7</t>
  </si>
  <si>
    <t>ADAS-SW-8</t>
  </si>
  <si>
    <t>ADAS-SW-9</t>
  </si>
  <si>
    <t>ADAS-SW-10</t>
  </si>
  <si>
    <t>ADAS-SW-11</t>
  </si>
  <si>
    <t>ADAS-SW-12</t>
  </si>
  <si>
    <t>ADAS-SW-13</t>
  </si>
  <si>
    <t>ADAS-HW-1</t>
  </si>
  <si>
    <t>ADAS-HW-2</t>
  </si>
  <si>
    <t>ADAS-HW-3</t>
  </si>
  <si>
    <t>ADAS-HW-4</t>
  </si>
  <si>
    <t>ADAS-HW-5</t>
  </si>
  <si>
    <t>ADAS-HW-7</t>
  </si>
  <si>
    <t>ADAS-HW-8</t>
  </si>
  <si>
    <t>ADAS-HW-9</t>
  </si>
  <si>
    <t>ADAS-HW-10</t>
  </si>
  <si>
    <t>ADAS-I/F-1</t>
  </si>
  <si>
    <t>ADAS-I/F-2</t>
  </si>
  <si>
    <t>AV must not enter "no go" area</t>
  </si>
  <si>
    <t>"No go" areas have to be defined before operation</t>
  </si>
  <si>
    <t>AV must not collide with any physical obstacle in the region</t>
  </si>
  <si>
    <t>The motor control unit of the AV shall able to drive the motor in different speeds.</t>
  </si>
  <si>
    <t>AV shall prevent slip</t>
  </si>
  <si>
    <t>AV shall have gyroscope (recommendation: Adafruit 9-DOF IMU Breakout - L3GD20H + LSM303)</t>
  </si>
  <si>
    <t>AV shall have a emergency stop button, which is connected to the MCU</t>
  </si>
  <si>
    <t>AV shall provide a user interface for user control and monitoring</t>
  </si>
  <si>
    <t>AV shall have a WiFi connection (e.g. ESP8266 with access point)</t>
  </si>
  <si>
    <t>TBD</t>
  </si>
  <si>
    <t>Priority
1: low 3: high</t>
  </si>
  <si>
    <t>Team</t>
  </si>
  <si>
    <t>AV returns to charging point before it runs out of battery</t>
  </si>
  <si>
    <t>AV generates a virtual map of area to be cleaned</t>
  </si>
  <si>
    <t>AV identifies change in obstacle position and adjusts internal map accordingly</t>
  </si>
  <si>
    <t>AV shall leave DIST_LAT_BOUNDARY between vehicle and physical border or no go area borders</t>
  </si>
  <si>
    <t>Parameter</t>
  </si>
  <si>
    <t>Value</t>
  </si>
  <si>
    <t>DIST_LAT_BOUNDARY</t>
  </si>
  <si>
    <t>14 cm</t>
  </si>
  <si>
    <t>ADAS-HW-11</t>
  </si>
  <si>
    <t>EMER_TIME</t>
  </si>
  <si>
    <t>ADAS-HW-12</t>
  </si>
  <si>
    <t>Depends on swing out of back on turning</t>
  </si>
  <si>
    <t>AV shall ignore notches with size less than N_DEPTH and N_WIDTH</t>
  </si>
  <si>
    <t>N_DEPTH</t>
  </si>
  <si>
    <t>N_WIDTH</t>
  </si>
  <si>
    <t>20 cm</t>
  </si>
  <si>
    <t>200 cm</t>
  </si>
  <si>
    <t>AV shall able to drive inside of a barn</t>
  </si>
  <si>
    <t>After pressing the emergency stop button AV must stop in EMER_TIME</t>
  </si>
  <si>
    <t>200 ms</t>
  </si>
  <si>
    <t>Maximum reaction distance 10 cm</t>
  </si>
  <si>
    <t>ADAS-SW-14</t>
  </si>
  <si>
    <t>AV must accelerate and decelerate in a controlled manner</t>
  </si>
  <si>
    <t>Responsibility</t>
  </si>
  <si>
    <t>AV discards obstacles which have less size than O_HEIGHT (e.g. bumper)</t>
  </si>
  <si>
    <t>AV shall use encoders to identify motors angular displacement</t>
  </si>
  <si>
    <t>AV shall have accelerometer (recommendation: Adafruit 9-DOF IMU Breakout - L3GD20H + LSM303)</t>
  </si>
  <si>
    <t>Gyroscope and accelerometer shall placed center of rotation</t>
  </si>
  <si>
    <t>The system work with speeds less than V_MAX</t>
  </si>
  <si>
    <t>V_MAX</t>
  </si>
  <si>
    <t>4 km/h</t>
  </si>
  <si>
    <t>O_HEIGHT</t>
  </si>
  <si>
    <t>Laser sensor shall have a degree turn of DET_ANG_LASER</t>
  </si>
  <si>
    <t>DET_ANG_LASER</t>
  </si>
  <si>
    <t>Possible detection angle of laser scanner</t>
  </si>
  <si>
    <t>180°</t>
  </si>
  <si>
    <t>AV must not collide with moving obstacle in radius of O_DET_RAD</t>
  </si>
  <si>
    <t>O_DET_RAD</t>
  </si>
  <si>
    <t xml:space="preserve">50 cm </t>
  </si>
  <si>
    <t>Radius distance from laser scanner</t>
  </si>
  <si>
    <t>ADAS-HW-13</t>
  </si>
  <si>
    <t>System Architecture</t>
  </si>
  <si>
    <t>Added system architecture</t>
  </si>
  <si>
    <t>C. Jurczyk</t>
  </si>
  <si>
    <t>A. Jose</t>
  </si>
  <si>
    <t>T-FUNC-001</t>
  </si>
  <si>
    <r>
      <t xml:space="preserve">4) AV Navigation in  </t>
    </r>
    <r>
      <rPr>
        <b/>
        <i/>
        <sz val="12"/>
        <color indexed="8"/>
        <rFont val="Calibri"/>
        <family val="2"/>
      </rPr>
      <t>Test Area</t>
    </r>
    <r>
      <rPr>
        <b/>
        <sz val="12"/>
        <color indexed="8"/>
        <rFont val="Calibri"/>
        <family val="2"/>
      </rPr>
      <t xml:space="preserve"> .</t>
    </r>
  </si>
  <si>
    <r>
      <t xml:space="preserve">5) AV Navigation in </t>
    </r>
    <r>
      <rPr>
        <b/>
        <i/>
        <sz val="12"/>
        <color indexed="8"/>
        <rFont val="Calibri"/>
        <family val="2"/>
      </rPr>
      <t>Test Area</t>
    </r>
    <r>
      <rPr>
        <b/>
        <sz val="12"/>
        <color indexed="8"/>
        <rFont val="Calibri"/>
        <family val="2"/>
      </rPr>
      <t xml:space="preserve"> </t>
    </r>
    <r>
      <rPr>
        <sz val="12"/>
        <color theme="1"/>
        <rFont val="Calibri"/>
        <family val="2"/>
        <charset val="128"/>
        <scheme val="minor"/>
      </rPr>
      <t xml:space="preserve"> 50% obstacles.</t>
    </r>
  </si>
  <si>
    <t>T-FUNC-002</t>
  </si>
  <si>
    <t>1) AV identifies and avoids rectangular/cube shaped obstacle.</t>
  </si>
  <si>
    <t>2) AV identifies and avoids Cylindrical obstacle</t>
  </si>
  <si>
    <t>3) AV identifies and avoids  obstacle with non-uniform height.
Example - cone, triangular prism.</t>
  </si>
  <si>
    <t xml:space="preserve">4) AV identifies and avoids amorphous obstacle. </t>
  </si>
  <si>
    <t>5)AV identifies obstacle at start location</t>
  </si>
  <si>
    <t>T-FUNC-003</t>
  </si>
  <si>
    <t>1) AV avoids obstacle which can move.</t>
  </si>
  <si>
    <t>AV must not touch or collide obstacles</t>
  </si>
  <si>
    <t>2) AV avoids multiple obstacle which can move.</t>
  </si>
  <si>
    <t>3) AV avoids moving obstacle at start location</t>
  </si>
  <si>
    <t>AV must not collide and must start operation after change in position of obstacle</t>
  </si>
  <si>
    <t>T-FUNC-004</t>
  </si>
  <si>
    <t>1) AV avoids "No go" area</t>
  </si>
  <si>
    <t>AV must not enter "no go" area.</t>
  </si>
  <si>
    <t>2)  AV avoids multiple "No go" area</t>
  </si>
  <si>
    <t>T-FUNC-005</t>
  </si>
  <si>
    <t>1) Slip test on start</t>
  </si>
  <si>
    <t xml:space="preserve">
1. Start AV.
2. Check if AV slips during start.</t>
  </si>
  <si>
    <t>AV must not slip on start</t>
  </si>
  <si>
    <t>2)  Slip test on stop</t>
  </si>
  <si>
    <t>1. Start AV.
2. Wait for AV to stop.
3. Check if AV slips on stop.</t>
  </si>
  <si>
    <t>AV must not slip on stop</t>
  </si>
  <si>
    <r>
      <t>3) Slip test on start low µ</t>
    </r>
    <r>
      <rPr>
        <sz val="8"/>
        <color indexed="8"/>
        <rFont val="Calibri"/>
        <family val="2"/>
      </rPr>
      <t>s</t>
    </r>
    <r>
      <rPr>
        <sz val="12"/>
        <color theme="1"/>
        <rFont val="Calibri"/>
        <family val="2"/>
        <charset val="128"/>
        <scheme val="minor"/>
      </rPr>
      <t xml:space="preserve"> (e.g. Wet surface)</t>
    </r>
  </si>
  <si>
    <r>
      <t>4) Slip test on stop low µ</t>
    </r>
    <r>
      <rPr>
        <sz val="8"/>
        <color indexed="8"/>
        <rFont val="Calibri"/>
        <family val="2"/>
      </rPr>
      <t>s</t>
    </r>
    <r>
      <rPr>
        <sz val="12"/>
        <color theme="1"/>
        <rFont val="Calibri"/>
        <family val="2"/>
        <charset val="128"/>
        <scheme val="minor"/>
      </rPr>
      <t xml:space="preserve"> (e.g. Wet surface)</t>
    </r>
  </si>
  <si>
    <r>
      <t>5) Navigation on low µ</t>
    </r>
    <r>
      <rPr>
        <sz val="8"/>
        <color indexed="8"/>
        <rFont val="Calibri"/>
        <family val="2"/>
      </rPr>
      <t>k</t>
    </r>
    <r>
      <rPr>
        <sz val="12"/>
        <color theme="1"/>
        <rFont val="Calibri"/>
        <family val="2"/>
        <charset val="128"/>
        <scheme val="minor"/>
      </rPr>
      <t xml:space="preserve"> (e.g. Wet surface)</t>
    </r>
  </si>
  <si>
    <r>
      <t>6)  Navigating on area with different µ</t>
    </r>
    <r>
      <rPr>
        <sz val="8"/>
        <color indexed="8"/>
        <rFont val="Calibri"/>
        <family val="2"/>
      </rPr>
      <t xml:space="preserve">k </t>
    </r>
    <r>
      <rPr>
        <sz val="12"/>
        <color theme="1"/>
        <rFont val="Calibri"/>
        <family val="2"/>
        <charset val="128"/>
        <scheme val="minor"/>
      </rPr>
      <t>.</t>
    </r>
  </si>
  <si>
    <t>T-FUNC-006</t>
  </si>
  <si>
    <t>1) AV small objects</t>
  </si>
  <si>
    <t>AV must not avoid the obstacle and must go over it.</t>
  </si>
  <si>
    <t>2)  AV object height boundary check</t>
  </si>
  <si>
    <t>AV must avoid obstacle</t>
  </si>
  <si>
    <t>T-FUNC-007</t>
  </si>
  <si>
    <t>1) AV should return before battery runs out</t>
  </si>
  <si>
    <t>AV must return on disconnection of battery</t>
  </si>
  <si>
    <t>2) AV start without enough charge</t>
  </si>
  <si>
    <t>AV must stay at start location</t>
  </si>
  <si>
    <t>T-FUNC-008</t>
  </si>
  <si>
    <t>1) AV multiple stop and go cycle</t>
  </si>
  <si>
    <t>T-FUNC-009</t>
  </si>
  <si>
    <t>1) AV drive forward</t>
  </si>
  <si>
    <t>1. Start AV
2. Drive forward
3. Stop AV</t>
  </si>
  <si>
    <t>AV must drive forward</t>
  </si>
  <si>
    <t>2) AV drive backward</t>
  </si>
  <si>
    <t>1. Start AV
2. Drive backward
3. Stop AV</t>
  </si>
  <si>
    <t>AV must drive backward</t>
  </si>
  <si>
    <t>T-FUNC-010</t>
  </si>
  <si>
    <t>1) AV drive with different speeds</t>
  </si>
  <si>
    <t>AV must drive with different speeds</t>
  </si>
  <si>
    <t>T-FUNC-011</t>
  </si>
  <si>
    <t>1) AV drive in a barn</t>
  </si>
  <si>
    <t>T-FUNC-012</t>
  </si>
  <si>
    <t>1) Test degree of the Laser</t>
  </si>
  <si>
    <t>Laser must have sweep angle of DET_ANG_LASER</t>
  </si>
  <si>
    <t>T-FUNC-013</t>
  </si>
  <si>
    <t>1) Connection test of the emergency button</t>
  </si>
  <si>
    <t>1. Connect the emergency button with the MCU
2. Check with a Software for the MCU if the MCU get a signal from the emergecy button
3. Push the emergency button
4. Check with a Software for the MCU if the signal changes
5. Repeat the process ten times</t>
  </si>
  <si>
    <t>The signal from the emergency button must always come through to the MCU</t>
  </si>
  <si>
    <t>T-FUNC-014</t>
  </si>
  <si>
    <t>1) Stop the AV with the emergency button while driving</t>
  </si>
  <si>
    <t>The AV must always stop in EMER_TIME or less</t>
  </si>
  <si>
    <t>T-FUNC-015</t>
  </si>
  <si>
    <t>1) Accelerate AV</t>
  </si>
  <si>
    <t>1. Mount external accelerometer on AV
2. Start AV
3. Observe the change in acceleration.
4. Repeat the process five times</t>
  </si>
  <si>
    <t>AV must have a linear acceleration</t>
  </si>
  <si>
    <t>2) Decelerate AV</t>
  </si>
  <si>
    <t>1. Mount external accelerometer on AV
2. Start AV
3. wait for AV to stop
3. Observe the change in decceleration during stop.
4. Repeat the process five times</t>
  </si>
  <si>
    <t>AV must have a linear Decceleration</t>
  </si>
  <si>
    <t>Steps</t>
  </si>
  <si>
    <t>no.</t>
  </si>
  <si>
    <t>item</t>
  </si>
  <si>
    <t>Test Area</t>
  </si>
  <si>
    <t xml:space="preserve">Test Region, Hochschule Bremerhaven, Z Block </t>
  </si>
  <si>
    <t>Free Area</t>
  </si>
  <si>
    <t>Test Region is divided into different blocks of resolution (1m x1m) and free are includes all the blocks which don't have obstacle or no go area.</t>
  </si>
  <si>
    <r>
      <rPr>
        <b/>
        <sz val="12"/>
        <color indexed="8"/>
        <rFont val="Calibri"/>
        <family val="2"/>
      </rPr>
      <t>µ</t>
    </r>
    <r>
      <rPr>
        <b/>
        <sz val="8"/>
        <color indexed="8"/>
        <rFont val="Calibri"/>
        <family val="2"/>
      </rPr>
      <t>k</t>
    </r>
  </si>
  <si>
    <t>Kinetic friction coefficient.</t>
  </si>
  <si>
    <t>µs</t>
  </si>
  <si>
    <t>Static friction coefficient.</t>
  </si>
  <si>
    <t>O_MINIMUM_CHARGE</t>
  </si>
  <si>
    <t>Minimum charge(%) to continue operation.</t>
  </si>
  <si>
    <t>O_MIN_CHRG</t>
  </si>
  <si>
    <t>1. Change V_MAX and flash new firmware. 
2.Start AV  
4. repeat 1-2 with different values</t>
  </si>
  <si>
    <t xml:space="preserve">1. Put an obstacle infront of AV at centre.
2. start AV 
3. Start moving obstacle to clockwise
3. Check angle at which AV start moving.
4. Repeat test 1-3 with anticlockwise motion of obstacle.
</t>
  </si>
  <si>
    <t xml:space="preserve">1.Start the AV
2. Drive forward with V_MAX  speed
3. Push the emergency button 
5.Repeat the process ten times </t>
  </si>
  <si>
    <r>
      <t>1. Place a  cone/triangular prism in test area</t>
    </r>
    <r>
      <rPr>
        <b/>
        <i/>
        <sz val="12"/>
        <color indexed="8"/>
        <rFont val="Calibri"/>
        <family val="2"/>
      </rPr>
      <t>.</t>
    </r>
    <r>
      <rPr>
        <sz val="12"/>
        <color theme="1"/>
        <rFont val="Calibri"/>
        <family val="2"/>
        <charset val="128"/>
        <scheme val="minor"/>
      </rPr>
      <t xml:space="preserve">
2. Start AV
3. check the AV navigation</t>
    </r>
    <r>
      <rPr>
        <sz val="12"/>
        <color theme="1"/>
        <rFont val="Calibri"/>
        <family val="2"/>
        <charset val="128"/>
        <scheme val="minor"/>
      </rPr>
      <t>.
4. repeat the test 5 times with different position</t>
    </r>
  </si>
  <si>
    <r>
      <t xml:space="preserve">
1. Start AV on low µ</t>
    </r>
    <r>
      <rPr>
        <sz val="8"/>
        <color indexed="8"/>
        <rFont val="Calibri"/>
        <family val="2"/>
      </rPr>
      <t>s</t>
    </r>
    <r>
      <rPr>
        <sz val="12"/>
        <color theme="1"/>
        <rFont val="Calibri"/>
        <family val="2"/>
        <charset val="128"/>
        <scheme val="minor"/>
      </rPr>
      <t xml:space="preserve"> surface
2. Check if AV slips during start.
3. repeat the test 5 times.</t>
    </r>
  </si>
  <si>
    <t>AV</t>
  </si>
  <si>
    <t>Autonomous Vehicle</t>
  </si>
  <si>
    <t>Test plan Updated</t>
  </si>
  <si>
    <t>AV must drive along the boundary of area.</t>
  </si>
  <si>
    <t>1) AV drives in clear square/Rectangular shaped area</t>
  </si>
  <si>
    <r>
      <t>1. Place a rectangular prism or cube in test area</t>
    </r>
    <r>
      <rPr>
        <b/>
        <i/>
        <sz val="12"/>
        <color indexed="8"/>
        <rFont val="Calibri"/>
        <family val="2"/>
      </rPr>
      <t>.</t>
    </r>
    <r>
      <rPr>
        <sz val="12"/>
        <color theme="1"/>
        <rFont val="Calibri"/>
        <family val="2"/>
        <charset val="128"/>
        <scheme val="minor"/>
      </rPr>
      <t xml:space="preserve">
2. Start AV
3. check the AV, if it drives around obstacle.
4. repeat the test 5 times with different position</t>
    </r>
  </si>
  <si>
    <r>
      <t>1. Place a  cylinder in test area</t>
    </r>
    <r>
      <rPr>
        <b/>
        <i/>
        <sz val="12"/>
        <color indexed="8"/>
        <rFont val="Calibri"/>
        <family val="2"/>
      </rPr>
      <t>.</t>
    </r>
    <r>
      <rPr>
        <sz val="12"/>
        <color theme="1"/>
        <rFont val="Calibri"/>
        <family val="2"/>
        <charset val="128"/>
        <scheme val="minor"/>
      </rPr>
      <t xml:space="preserve">
2. Start AV
3. check the AV, if it drives around obstacle.
4. repeat the test 5 times with different position</t>
    </r>
  </si>
  <si>
    <r>
      <t>1. Place an amorphous object in test area</t>
    </r>
    <r>
      <rPr>
        <b/>
        <i/>
        <sz val="12"/>
        <color indexed="8"/>
        <rFont val="Calibri"/>
        <family val="2"/>
      </rPr>
      <t>.</t>
    </r>
    <r>
      <rPr>
        <sz val="12"/>
        <color theme="1"/>
        <rFont val="Calibri"/>
        <family val="2"/>
        <charset val="128"/>
        <scheme val="minor"/>
      </rPr>
      <t xml:space="preserve">
2. Start AV
3. check the AV, if it drives around obstacle.
4. repeat the test 5 times with different position</t>
    </r>
  </si>
  <si>
    <t>1. Start AV on low µs surface
2. Wait for Start AV to finish drive around the given region and return to start
3. Check if AV slips on stop.
4. repeat the test 5 times</t>
  </si>
  <si>
    <t>1. Start AV and drives AV in low µk.
2. Check AV, if it slips during motion.</t>
  </si>
  <si>
    <r>
      <t>1. Define a test area and initialise the test area to have two different µ</t>
    </r>
    <r>
      <rPr>
        <sz val="8"/>
        <color indexed="8"/>
        <rFont val="Calibri"/>
        <family val="2"/>
      </rPr>
      <t>k.</t>
    </r>
    <r>
      <rPr>
        <sz val="12"/>
        <color theme="1"/>
        <rFont val="Calibri"/>
        <family val="2"/>
        <charset val="128"/>
        <scheme val="minor"/>
      </rPr>
      <t xml:space="preserve">
2. Start AV.
3. Check AV, if it slips during motion.
4. repeat the test 5 times.</t>
    </r>
  </si>
  <si>
    <t>1. Charge both AV batteries above O_MIN_CHRG
2. Start AV.
3. change minimum charge parameter through UI
4. Check AV, if it drives around obstacle.
5. repeat the test 5 times increasing number of obstacle each time.</t>
  </si>
  <si>
    <r>
      <t>1. Charge both AV batteries less than O_MIN_CHRG
2. Start AV.
3. Check AV, if AV drives or not</t>
    </r>
    <r>
      <rPr>
        <sz val="14"/>
        <color indexed="8"/>
        <rFont val="Calibri"/>
        <family val="2"/>
      </rPr>
      <t>.</t>
    </r>
  </si>
  <si>
    <t>1. Charge one of AV battery less than O_MIN_CHRG and other to full
2. Start AV.
3. change minimum charge parameter through UI
4. wait till AV return to start.
5. change minimum charge parameter through UI
6. check AV, if it drives along the region's boundary.
7. repeat 3-6 multiple times.</t>
  </si>
  <si>
    <t>AV must complete the drive path, resuming from previous route.</t>
  </si>
  <si>
    <t>3) AV drives in square/Rectangular  multiple obstacles</t>
  </si>
  <si>
    <t>2)AV drives in square/Rectangular area with single obstacle along boundary.</t>
  </si>
  <si>
    <t>AV must drives drive along the boundary and return to start point.</t>
  </si>
  <si>
    <t>1. Clear area
2. Start AV
3. Check if AV drives along the boundary</t>
  </si>
  <si>
    <t>1. Place an obstacle along the boundary
2. Start AV
3. Check if AV drives along the boundary
4. repeat the test 5 times with different position</t>
  </si>
  <si>
    <t>AV indicates status with red, yellow and green light.
Red(Constant) - system fault
Yellow (Blinking) - Battery low. 
Yellow (Constant) - Waiting for user input.
Green(Constant) - Cleaning in progress.</t>
  </si>
  <si>
    <t>1. Place multiple obstacles along boundary
2. Start AV
3. Check if AV drives along the boundary</t>
  </si>
  <si>
    <t>1. Clear Test Area
2. Start AV
3. Check if AV drives along the boundary</t>
  </si>
  <si>
    <t>1. Place multiple obstacles along the boundary
2. Start AV
3. Check if AV drives along the boundary
4. repeat the test 5 times with different position</t>
  </si>
  <si>
    <t xml:space="preserve">1. Place the obstacle directly in front of AV
2. Start AV
3. check the AV motion.
</t>
  </si>
  <si>
    <r>
      <t>1. Place an obstacle in the region.</t>
    </r>
    <r>
      <rPr>
        <b/>
        <sz val="12"/>
        <color indexed="8"/>
        <rFont val="Calibri"/>
        <family val="2"/>
      </rPr>
      <t xml:space="preserve">
</t>
    </r>
    <r>
      <rPr>
        <sz val="12"/>
        <color theme="1"/>
        <rFont val="Calibri"/>
        <family val="2"/>
        <charset val="128"/>
        <scheme val="minor"/>
      </rPr>
      <t>2. Start AV.
3. After 30 sec, move obstacle in the driving direction of AV
4. Check if AV drives around the new obstacle along the path.
5. repeat the test 5 time</t>
    </r>
  </si>
  <si>
    <r>
      <t>1. Place multiple obstacles.</t>
    </r>
    <r>
      <rPr>
        <b/>
        <sz val="12"/>
        <color indexed="8"/>
        <rFont val="Calibri"/>
        <family val="2"/>
      </rPr>
      <t xml:space="preserve">
</t>
    </r>
    <r>
      <rPr>
        <sz val="12"/>
        <color theme="1"/>
        <rFont val="Calibri"/>
        <family val="2"/>
        <charset val="128"/>
        <scheme val="minor"/>
      </rPr>
      <t xml:space="preserve">2. Start AV.
3. After 10 sec, rearrange obstacle along the drive direction one by one
4. Check if AV drives around the new obstacle along the path.
5. repeat the test 5 times
</t>
    </r>
  </si>
  <si>
    <r>
      <t>1. Place obstacles directly in front of AV</t>
    </r>
    <r>
      <rPr>
        <b/>
        <sz val="12"/>
        <color indexed="8"/>
        <rFont val="Calibri"/>
        <family val="2"/>
      </rPr>
      <t xml:space="preserve">
</t>
    </r>
    <r>
      <rPr>
        <sz val="12"/>
        <color theme="1"/>
        <rFont val="Calibri"/>
        <family val="2"/>
        <charset val="128"/>
        <scheme val="minor"/>
      </rPr>
      <t xml:space="preserve">2. Start AV.
3. After 10 sec, change obstacle position
4. Check AV motion before and after obstacle's location change
</t>
    </r>
  </si>
  <si>
    <t>1. Program "No go" Area
2. Start AV.
3. Check id AV enters or not in 'No go' area.
4 repeat the test 5 times with different positions.</t>
  </si>
  <si>
    <t>1. Program multiple "No go" Area of different size.
2. Start AV.
3. Check id AV enters or not in 'No go' area.
4 repeat the test 5 times with different positions.</t>
  </si>
  <si>
    <t>AV must not slip while driving</t>
  </si>
  <si>
    <t>1. Place obstacle which is smaller than O_HEIGHT
2. Start AV.
3. Check if AV drives over it or not.
4. repeat the test 5 times with different positions.</t>
  </si>
  <si>
    <t>1. Place obstacle which is smaller than O_HEIGHT
2. Start AV.
3. Check if AV drives around it.
4. repeat the test 5 times with different positions.</t>
  </si>
  <si>
    <t>UI</t>
  </si>
  <si>
    <t>User interface</t>
  </si>
  <si>
    <t>Risk</t>
  </si>
  <si>
    <t>Probability</t>
  </si>
  <si>
    <t>RiskValue</t>
  </si>
  <si>
    <t>Severity
1: low 3: high</t>
  </si>
  <si>
    <t>1. non uniform acceleration
2. wrong direction, due to differential slip
3. wear and tear
4. Physical damage</t>
  </si>
  <si>
    <t>Cannot complete circumferential  run</t>
  </si>
  <si>
    <t>AV may not move or move in wrong direction</t>
  </si>
  <si>
    <t>1. AV may not achieve desired speed
2.More prone to slip, may result in unpredictable stop distance.</t>
  </si>
  <si>
    <t>physical damage to AV and enivroment.</t>
  </si>
  <si>
    <t xml:space="preserve">Draft </t>
  </si>
  <si>
    <t>Risk and severity Updated</t>
  </si>
  <si>
    <t>A.Jose &amp; J.Muller</t>
  </si>
  <si>
    <t>Collision</t>
  </si>
  <si>
    <t>1. AV Obstacle detection failure.
2.Collision</t>
  </si>
  <si>
    <t>AV does not stop in time</t>
  </si>
  <si>
    <t>Not all areas are cleaned</t>
  </si>
  <si>
    <t>1. Unusal vibrations, may lead to HW damage
2. slip
3. wear and tear
4.Collision</t>
  </si>
  <si>
    <t>1. Collision
2. Slip</t>
  </si>
  <si>
    <t>The AV shall be able to drive forward, backward and to turn in a given angle</t>
  </si>
  <si>
    <t>3) AV turn in a given angle</t>
  </si>
  <si>
    <t>1. Start AV
2. Turn with a given angle
3. Stop AV</t>
  </si>
  <si>
    <t>AV must turn in a given angle</t>
  </si>
</sst>
</file>

<file path=xl/styles.xml><?xml version="1.0" encoding="utf-8"?>
<styleSheet xmlns="http://schemas.openxmlformats.org/spreadsheetml/2006/main">
  <fonts count="21">
    <font>
      <sz val="12"/>
      <color theme="1"/>
      <name val="Calibri"/>
      <family val="2"/>
      <charset val="128"/>
      <scheme val="minor"/>
    </font>
    <font>
      <sz val="9"/>
      <name val="宋体"/>
      <charset val="134"/>
    </font>
    <font>
      <b/>
      <sz val="12"/>
      <color theme="1"/>
      <name val="Calibri"/>
      <family val="2"/>
      <scheme val="minor"/>
    </font>
    <font>
      <sz val="11"/>
      <color theme="1"/>
      <name val="Calibri"/>
      <scheme val="minor"/>
    </font>
    <font>
      <b/>
      <sz val="11"/>
      <color theme="1"/>
      <name val="Calibri"/>
      <family val="2"/>
      <scheme val="minor"/>
    </font>
    <font>
      <b/>
      <sz val="14"/>
      <color theme="1"/>
      <name val="Calibri"/>
      <scheme val="minor"/>
    </font>
    <font>
      <sz val="26"/>
      <color theme="1"/>
      <name val="Calibri"/>
      <family val="2"/>
      <scheme val="minor"/>
    </font>
    <font>
      <b/>
      <sz val="18"/>
      <color theme="1"/>
      <name val="Calibri"/>
      <family val="2"/>
      <scheme val="minor"/>
    </font>
    <font>
      <b/>
      <sz val="16"/>
      <color theme="1"/>
      <name val="Calibri"/>
      <scheme val="minor"/>
    </font>
    <font>
      <b/>
      <sz val="14"/>
      <color theme="1"/>
      <name val="Calibri"/>
      <family val="2"/>
      <scheme val="minor"/>
    </font>
    <font>
      <b/>
      <sz val="15"/>
      <color theme="3"/>
      <name val="Calibri"/>
      <family val="2"/>
      <scheme val="minor"/>
    </font>
    <font>
      <sz val="12"/>
      <color theme="1"/>
      <name val="Calibri"/>
      <family val="2"/>
      <scheme val="minor"/>
    </font>
    <font>
      <b/>
      <sz val="16"/>
      <color theme="1"/>
      <name val="Calibri"/>
      <family val="2"/>
      <scheme val="minor"/>
    </font>
    <font>
      <b/>
      <sz val="12"/>
      <color indexed="8"/>
      <name val="Calibri"/>
      <family val="2"/>
    </font>
    <font>
      <b/>
      <i/>
      <sz val="12"/>
      <color indexed="8"/>
      <name val="Calibri"/>
      <family val="2"/>
    </font>
    <font>
      <sz val="8"/>
      <color indexed="8"/>
      <name val="Calibri"/>
      <family val="2"/>
    </font>
    <font>
      <sz val="14"/>
      <color indexed="8"/>
      <name val="Calibri"/>
      <family val="2"/>
    </font>
    <font>
      <b/>
      <sz val="8"/>
      <color indexed="8"/>
      <name val="Calibri"/>
      <family val="2"/>
    </font>
    <font>
      <sz val="9"/>
      <color indexed="81"/>
      <name val="Tahoma"/>
      <charset val="1"/>
    </font>
    <font>
      <b/>
      <sz val="9"/>
      <color indexed="81"/>
      <name val="Tahoma"/>
      <charset val="1"/>
    </font>
    <font>
      <u/>
      <sz val="12"/>
      <color theme="10"/>
      <name val="Calibri"/>
      <family val="2"/>
      <scheme val="minor"/>
    </font>
  </fonts>
  <fills count="10">
    <fill>
      <patternFill patternType="none"/>
    </fill>
    <fill>
      <patternFill patternType="gray125"/>
    </fill>
    <fill>
      <patternFill patternType="solid">
        <fgColor theme="6" tint="0.39997558519241921"/>
        <bgColor indexed="64"/>
      </patternFill>
    </fill>
    <fill>
      <patternFill patternType="solid">
        <fgColor theme="9"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4" tint="-0.249977111117893"/>
        <bgColor indexed="64"/>
      </patternFill>
    </fill>
    <fill>
      <patternFill patternType="solid">
        <fgColor theme="4" tint="0.79998168889431442"/>
        <bgColor indexed="64"/>
      </patternFill>
    </fill>
    <fill>
      <patternFill patternType="solid">
        <fgColor theme="4" tint="0.39997558519241921"/>
        <bgColor indexed="64"/>
      </patternFill>
    </fill>
    <fill>
      <patternFill patternType="solid">
        <fgColor rgb="FFFFFF00"/>
        <bgColor indexed="64"/>
      </patternFill>
    </fill>
  </fills>
  <borders count="19">
    <border>
      <left/>
      <right/>
      <top/>
      <bottom/>
      <diagonal/>
    </border>
    <border>
      <left/>
      <right/>
      <top/>
      <bottom style="thick">
        <color theme="4"/>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thin">
        <color auto="1"/>
      </right>
      <top style="medium">
        <color auto="1"/>
      </top>
      <bottom style="thin">
        <color auto="1"/>
      </bottom>
      <diagonal/>
    </border>
    <border>
      <left style="medium">
        <color auto="1"/>
      </left>
      <right style="thin">
        <color auto="1"/>
      </right>
      <top/>
      <bottom/>
      <diagonal/>
    </border>
    <border>
      <left style="thin">
        <color auto="1"/>
      </left>
      <right style="thin">
        <color auto="1"/>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medium">
        <color auto="1"/>
      </bottom>
      <diagonal/>
    </border>
  </borders>
  <cellStyleXfs count="4">
    <xf numFmtId="0" fontId="0" fillId="0" borderId="0"/>
    <xf numFmtId="0" fontId="3" fillId="0" borderId="0"/>
    <xf numFmtId="0" fontId="10" fillId="0" borderId="1" applyNumberFormat="0" applyFill="0" applyAlignment="0" applyProtection="0"/>
    <xf numFmtId="0" fontId="20" fillId="0" borderId="0" applyNumberFormat="0" applyFill="0" applyBorder="0" applyAlignment="0" applyProtection="0"/>
  </cellStyleXfs>
  <cellXfs count="105">
    <xf numFmtId="0" fontId="0" fillId="0" borderId="0" xfId="0"/>
    <xf numFmtId="14" fontId="0" fillId="0" borderId="0" xfId="0" applyNumberFormat="1"/>
    <xf numFmtId="0" fontId="0" fillId="0" borderId="0" xfId="0" applyFont="1"/>
    <xf numFmtId="0" fontId="4" fillId="0" borderId="0" xfId="0" applyFont="1" applyAlignment="1">
      <alignment wrapText="1"/>
    </xf>
    <xf numFmtId="0" fontId="4" fillId="0" borderId="0" xfId="0" applyFont="1"/>
    <xf numFmtId="0" fontId="2" fillId="0" borderId="0" xfId="0" applyFont="1" applyAlignment="1">
      <alignment horizontal="center"/>
    </xf>
    <xf numFmtId="0" fontId="2" fillId="0" borderId="0" xfId="0" applyFont="1" applyAlignment="1">
      <alignment horizontal="left"/>
    </xf>
    <xf numFmtId="0" fontId="0" fillId="0" borderId="0" xfId="0" applyFont="1" applyAlignment="1">
      <alignment horizontal="center"/>
    </xf>
    <xf numFmtId="0" fontId="0" fillId="0" borderId="0" xfId="0" applyFont="1" applyAlignment="1">
      <alignment wrapText="1"/>
    </xf>
    <xf numFmtId="0" fontId="0" fillId="0" borderId="0" xfId="0" applyFont="1" applyAlignment="1">
      <alignment horizontal="center" wrapText="1"/>
    </xf>
    <xf numFmtId="0" fontId="8" fillId="4" borderId="0" xfId="0" applyFont="1" applyFill="1" applyAlignment="1"/>
    <xf numFmtId="0" fontId="0" fillId="0" borderId="0" xfId="0" applyAlignment="1">
      <alignment wrapText="1"/>
    </xf>
    <xf numFmtId="0" fontId="5" fillId="0" borderId="0" xfId="0" applyFont="1" applyBorder="1" applyAlignment="1">
      <alignment horizontal="center" vertical="center" wrapText="1"/>
    </xf>
    <xf numFmtId="0" fontId="0" fillId="0" borderId="0" xfId="0" applyFont="1" applyBorder="1" applyAlignment="1">
      <alignment horizontal="center" vertical="center"/>
    </xf>
    <xf numFmtId="0" fontId="0" fillId="0" borderId="0" xfId="0" applyFont="1" applyBorder="1" applyAlignment="1">
      <alignment horizontal="left" vertical="center" wrapText="1"/>
    </xf>
    <xf numFmtId="0" fontId="0" fillId="0" borderId="0" xfId="0" applyFont="1" applyBorder="1" applyAlignment="1">
      <alignment horizontal="center"/>
    </xf>
    <xf numFmtId="0" fontId="0" fillId="0" borderId="0" xfId="0" applyFont="1" applyBorder="1"/>
    <xf numFmtId="0" fontId="0" fillId="0" borderId="0" xfId="0" quotePrefix="1" applyFont="1" applyBorder="1" applyAlignment="1">
      <alignment horizontal="left" vertical="center" wrapText="1"/>
    </xf>
    <xf numFmtId="0" fontId="9" fillId="0" borderId="0" xfId="0" applyFont="1" applyBorder="1" applyAlignment="1">
      <alignment horizontal="center" vertical="center" wrapText="1"/>
    </xf>
    <xf numFmtId="0" fontId="10" fillId="0" borderId="1" xfId="2"/>
    <xf numFmtId="0" fontId="0" fillId="7" borderId="4" xfId="0" applyFill="1" applyBorder="1" applyAlignment="1">
      <alignment wrapText="1" shrinkToFit="1"/>
    </xf>
    <xf numFmtId="0" fontId="0" fillId="7" borderId="4" xfId="0" applyFill="1" applyBorder="1" applyAlignment="1">
      <alignment wrapText="1"/>
    </xf>
    <xf numFmtId="0" fontId="11" fillId="7" borderId="7" xfId="1" applyFont="1" applyFill="1" applyBorder="1" applyAlignment="1">
      <alignment wrapText="1"/>
    </xf>
    <xf numFmtId="0" fontId="0" fillId="7" borderId="7" xfId="0" applyFill="1" applyBorder="1" applyAlignment="1">
      <alignment wrapText="1"/>
    </xf>
    <xf numFmtId="0" fontId="0" fillId="7" borderId="8" xfId="0" applyFill="1" applyBorder="1"/>
    <xf numFmtId="0" fontId="0" fillId="7" borderId="8" xfId="0" applyFill="1" applyBorder="1" applyAlignment="1">
      <alignment wrapText="1"/>
    </xf>
    <xf numFmtId="0" fontId="11" fillId="8" borderId="4" xfId="1" applyFont="1" applyFill="1" applyBorder="1" applyAlignment="1">
      <alignment wrapText="1"/>
    </xf>
    <xf numFmtId="0" fontId="0" fillId="8" borderId="7" xfId="0" applyFill="1" applyBorder="1" applyAlignment="1">
      <alignment wrapText="1"/>
    </xf>
    <xf numFmtId="0" fontId="11" fillId="8" borderId="8" xfId="1" applyFont="1" applyFill="1" applyBorder="1" applyAlignment="1">
      <alignment wrapText="1"/>
    </xf>
    <xf numFmtId="0" fontId="0" fillId="8" borderId="0" xfId="0" applyFill="1" applyBorder="1" applyAlignment="1">
      <alignment wrapText="1"/>
    </xf>
    <xf numFmtId="0" fontId="0" fillId="8" borderId="8" xfId="0" applyFill="1" applyBorder="1" applyAlignment="1">
      <alignment wrapText="1"/>
    </xf>
    <xf numFmtId="0" fontId="0" fillId="7" borderId="4" xfId="0" applyFill="1" applyBorder="1" applyAlignment="1">
      <alignment vertical="center" wrapText="1"/>
    </xf>
    <xf numFmtId="0" fontId="0" fillId="7" borderId="7" xfId="0" applyFill="1" applyBorder="1" applyAlignment="1">
      <alignment vertical="center" wrapText="1"/>
    </xf>
    <xf numFmtId="0" fontId="0" fillId="7" borderId="7" xfId="0" applyFill="1" applyBorder="1" applyAlignment="1">
      <alignment wrapText="1" shrinkToFit="1"/>
    </xf>
    <xf numFmtId="0" fontId="0" fillId="7" borderId="12" xfId="0" applyFill="1" applyBorder="1" applyAlignment="1">
      <alignment wrapText="1" shrinkToFit="1"/>
    </xf>
    <xf numFmtId="0" fontId="0" fillId="7" borderId="10" xfId="0" applyFill="1" applyBorder="1" applyAlignment="1">
      <alignment vertical="center" wrapText="1"/>
    </xf>
    <xf numFmtId="0" fontId="11" fillId="8" borderId="4" xfId="1" applyFont="1" applyFill="1" applyBorder="1" applyAlignment="1">
      <alignment vertical="center" wrapText="1"/>
    </xf>
    <xf numFmtId="0" fontId="0" fillId="8" borderId="8" xfId="0" applyFill="1" applyBorder="1" applyAlignment="1">
      <alignment vertical="center" wrapText="1"/>
    </xf>
    <xf numFmtId="0" fontId="0" fillId="7" borderId="14" xfId="0" applyFill="1" applyBorder="1" applyAlignment="1">
      <alignment vertical="center" wrapText="1"/>
    </xf>
    <xf numFmtId="0" fontId="0" fillId="7" borderId="14" xfId="0" applyFill="1" applyBorder="1" applyAlignment="1">
      <alignment wrapText="1" shrinkToFit="1"/>
    </xf>
    <xf numFmtId="0" fontId="0" fillId="7" borderId="14" xfId="0" applyFill="1" applyBorder="1" applyAlignment="1">
      <alignment wrapText="1"/>
    </xf>
    <xf numFmtId="0" fontId="0" fillId="8" borderId="3" xfId="0" applyFill="1" applyBorder="1" applyAlignment="1">
      <alignment horizontal="left" vertical="center"/>
    </xf>
    <xf numFmtId="0" fontId="11" fillId="8" borderId="3" xfId="1" applyFont="1" applyFill="1" applyBorder="1" applyAlignment="1">
      <alignment vertical="center" wrapText="1"/>
    </xf>
    <xf numFmtId="0" fontId="0" fillId="8" borderId="3" xfId="1" applyFont="1" applyFill="1" applyBorder="1" applyAlignment="1">
      <alignment wrapText="1"/>
    </xf>
    <xf numFmtId="0" fontId="0" fillId="8" borderId="16" xfId="0" applyFill="1" applyBorder="1" applyAlignment="1">
      <alignment horizontal="left" vertical="center"/>
    </xf>
    <xf numFmtId="0" fontId="11" fillId="8" borderId="16" xfId="1" applyFont="1" applyFill="1" applyBorder="1" applyAlignment="1">
      <alignment vertical="center" wrapText="1"/>
    </xf>
    <xf numFmtId="0" fontId="0" fillId="8" borderId="16" xfId="1" applyFont="1" applyFill="1" applyBorder="1" applyAlignment="1">
      <alignment wrapText="1"/>
    </xf>
    <xf numFmtId="0" fontId="11" fillId="8" borderId="16" xfId="1" applyFont="1" applyFill="1" applyBorder="1" applyAlignment="1">
      <alignment wrapText="1"/>
    </xf>
    <xf numFmtId="0" fontId="0" fillId="7" borderId="4" xfId="0" applyFill="1" applyBorder="1" applyAlignment="1">
      <alignment horizontal="center" wrapText="1"/>
    </xf>
    <xf numFmtId="0" fontId="0" fillId="6" borderId="13" xfId="0" applyFill="1" applyBorder="1"/>
    <xf numFmtId="0" fontId="0" fillId="6" borderId="14" xfId="0" applyFill="1" applyBorder="1"/>
    <xf numFmtId="0" fontId="0" fillId="6" borderId="14" xfId="0" applyFill="1" applyBorder="1" applyAlignment="1">
      <alignment wrapText="1"/>
    </xf>
    <xf numFmtId="0" fontId="0" fillId="6" borderId="18" xfId="0" applyFill="1" applyBorder="1" applyAlignment="1"/>
    <xf numFmtId="0" fontId="0" fillId="7" borderId="17" xfId="0" applyFill="1" applyBorder="1" applyAlignment="1">
      <alignment wrapText="1"/>
    </xf>
    <xf numFmtId="0" fontId="2" fillId="0" borderId="0" xfId="0" applyFont="1" applyAlignment="1">
      <alignment wrapText="1"/>
    </xf>
    <xf numFmtId="0" fontId="0" fillId="0" borderId="0" xfId="0" applyAlignment="1">
      <alignment wrapText="1" shrinkToFit="1"/>
    </xf>
    <xf numFmtId="0" fontId="0" fillId="8" borderId="4" xfId="1" applyFont="1" applyFill="1" applyBorder="1" applyAlignment="1">
      <alignment wrapText="1"/>
    </xf>
    <xf numFmtId="9" fontId="0" fillId="0" borderId="0" xfId="0" applyNumberFormat="1" applyAlignment="1">
      <alignment horizontal="left" vertical="center"/>
    </xf>
    <xf numFmtId="0" fontId="0" fillId="7" borderId="4" xfId="0" applyFill="1" applyBorder="1" applyAlignment="1">
      <alignment horizontal="left" wrapText="1"/>
    </xf>
    <xf numFmtId="0" fontId="0" fillId="7" borderId="4" xfId="0" applyFill="1" applyBorder="1" applyAlignment="1">
      <alignment horizontal="left" wrapText="1" shrinkToFit="1"/>
    </xf>
    <xf numFmtId="0" fontId="0" fillId="7" borderId="4" xfId="0" applyFill="1" applyBorder="1" applyAlignment="1">
      <alignment horizontal="left" vertical="center"/>
    </xf>
    <xf numFmtId="0" fontId="0" fillId="7" borderId="4" xfId="0" applyFill="1" applyBorder="1" applyAlignment="1">
      <alignment horizontal="left" vertical="center" wrapText="1"/>
    </xf>
    <xf numFmtId="0" fontId="0" fillId="8" borderId="4" xfId="1" applyFont="1" applyFill="1" applyBorder="1" applyAlignment="1">
      <alignment wrapText="1" shrinkToFit="1"/>
    </xf>
    <xf numFmtId="0" fontId="0" fillId="7" borderId="14" xfId="1" applyFont="1" applyFill="1" applyBorder="1" applyAlignment="1">
      <alignment wrapText="1"/>
    </xf>
    <xf numFmtId="0" fontId="0" fillId="8" borderId="8" xfId="1" applyFont="1" applyFill="1" applyBorder="1" applyAlignment="1">
      <alignment wrapText="1"/>
    </xf>
    <xf numFmtId="0" fontId="2" fillId="0" borderId="0" xfId="0" applyFont="1"/>
    <xf numFmtId="0" fontId="20" fillId="0" borderId="0" xfId="3" applyBorder="1" applyAlignment="1">
      <alignment horizontal="center"/>
    </xf>
    <xf numFmtId="0" fontId="0" fillId="7" borderId="7" xfId="1" applyFont="1" applyFill="1" applyBorder="1" applyAlignment="1">
      <alignment wrapText="1"/>
    </xf>
    <xf numFmtId="0" fontId="20" fillId="8" borderId="2" xfId="3" applyFill="1" applyBorder="1" applyAlignment="1">
      <alignment horizontal="center" vertical="center"/>
    </xf>
    <xf numFmtId="0" fontId="20" fillId="8" borderId="15" xfId="3" applyFill="1" applyBorder="1" applyAlignment="1">
      <alignment horizontal="center" vertical="center"/>
    </xf>
    <xf numFmtId="0" fontId="20" fillId="9" borderId="11" xfId="3" applyFill="1" applyBorder="1" applyAlignment="1">
      <alignment horizontal="center" vertical="center"/>
    </xf>
    <xf numFmtId="0" fontId="20" fillId="7" borderId="11" xfId="3" applyFill="1" applyBorder="1" applyAlignment="1">
      <alignment horizontal="center" vertical="center"/>
    </xf>
    <xf numFmtId="0" fontId="20" fillId="9" borderId="15" xfId="3" applyFill="1" applyBorder="1" applyAlignment="1">
      <alignment horizontal="center" vertical="center"/>
    </xf>
    <xf numFmtId="0" fontId="0" fillId="0" borderId="0" xfId="0" applyFont="1" applyBorder="1" applyAlignment="1">
      <alignment horizontal="left" vertical="center" wrapText="1" shrinkToFit="1"/>
    </xf>
    <xf numFmtId="10" fontId="0" fillId="0" borderId="0" xfId="0" applyNumberFormat="1" applyFont="1" applyBorder="1" applyAlignment="1">
      <alignment horizontal="center" vertical="center"/>
    </xf>
    <xf numFmtId="0" fontId="0" fillId="0" borderId="0" xfId="0" applyFont="1" applyBorder="1" applyAlignment="1">
      <alignment horizontal="left" vertical="top" wrapText="1"/>
    </xf>
    <xf numFmtId="0" fontId="0" fillId="0" borderId="0" xfId="0" applyFont="1" applyBorder="1" applyAlignment="1">
      <alignment horizontal="left" vertical="top"/>
    </xf>
    <xf numFmtId="0" fontId="3" fillId="0" borderId="0" xfId="1" applyAlignment="1">
      <alignment horizontal="center" vertical="center"/>
    </xf>
    <xf numFmtId="15" fontId="6" fillId="2" borderId="0" xfId="0" applyNumberFormat="1" applyFont="1" applyFill="1" applyAlignment="1">
      <alignment horizontal="center"/>
    </xf>
    <xf numFmtId="0" fontId="6" fillId="2" borderId="0" xfId="0" applyFont="1" applyFill="1" applyAlignment="1">
      <alignment horizontal="center"/>
    </xf>
    <xf numFmtId="0" fontId="7" fillId="3" borderId="0" xfId="0" applyFont="1" applyFill="1" applyAlignment="1">
      <alignment horizontal="center"/>
    </xf>
    <xf numFmtId="0" fontId="0" fillId="0" borderId="0" xfId="0" applyFont="1" applyAlignment="1">
      <alignment horizontal="center" wrapText="1"/>
    </xf>
    <xf numFmtId="0" fontId="0" fillId="0" borderId="0" xfId="0" applyAlignment="1">
      <alignment horizontal="center" wrapText="1"/>
    </xf>
    <xf numFmtId="0" fontId="0" fillId="0" borderId="0" xfId="0" applyFont="1" applyAlignment="1">
      <alignment horizontal="left" wrapText="1"/>
    </xf>
    <xf numFmtId="0" fontId="0" fillId="0" borderId="0" xfId="0" applyAlignment="1">
      <alignment horizontal="left" wrapText="1"/>
    </xf>
    <xf numFmtId="0" fontId="4" fillId="0" borderId="0" xfId="0" applyFont="1" applyAlignment="1">
      <alignment horizontal="center"/>
    </xf>
    <xf numFmtId="0" fontId="12" fillId="5" borderId="11" xfId="0" applyFont="1" applyFill="1" applyBorder="1" applyAlignment="1">
      <alignment horizontal="center"/>
    </xf>
    <xf numFmtId="0" fontId="12" fillId="5" borderId="4" xfId="0" applyFont="1" applyFill="1" applyBorder="1" applyAlignment="1">
      <alignment horizontal="center"/>
    </xf>
    <xf numFmtId="0" fontId="12" fillId="5" borderId="17" xfId="0" applyFont="1" applyFill="1" applyBorder="1" applyAlignment="1">
      <alignment horizontal="center"/>
    </xf>
    <xf numFmtId="0" fontId="20" fillId="7" borderId="2" xfId="3" applyFill="1" applyBorder="1" applyAlignment="1">
      <alignment horizontal="center" vertical="center"/>
    </xf>
    <xf numFmtId="0" fontId="20" fillId="7" borderId="5" xfId="3" applyFill="1" applyBorder="1" applyAlignment="1">
      <alignment horizontal="center" vertical="center"/>
    </xf>
    <xf numFmtId="0" fontId="0" fillId="7" borderId="3" xfId="0" applyFill="1" applyBorder="1" applyAlignment="1">
      <alignment horizontal="left" vertical="center" wrapText="1"/>
    </xf>
    <xf numFmtId="0" fontId="0" fillId="7" borderId="6" xfId="0" applyFill="1" applyBorder="1" applyAlignment="1">
      <alignment horizontal="left" vertical="center" wrapText="1"/>
    </xf>
    <xf numFmtId="0" fontId="20" fillId="8" borderId="2" xfId="3" applyFill="1" applyBorder="1" applyAlignment="1">
      <alignment horizontal="center" vertical="center"/>
    </xf>
    <xf numFmtId="0" fontId="20" fillId="8" borderId="5" xfId="3" applyFill="1" applyBorder="1" applyAlignment="1">
      <alignment horizontal="center" vertical="center"/>
    </xf>
    <xf numFmtId="0" fontId="20" fillId="8" borderId="9" xfId="3" applyFill="1" applyBorder="1" applyAlignment="1">
      <alignment horizontal="center" vertical="center"/>
    </xf>
    <xf numFmtId="0" fontId="0" fillId="8" borderId="3" xfId="0" applyFill="1" applyBorder="1" applyAlignment="1">
      <alignment horizontal="left" vertical="center"/>
    </xf>
    <xf numFmtId="0" fontId="0" fillId="8" borderId="6" xfId="0" applyFill="1" applyBorder="1" applyAlignment="1">
      <alignment horizontal="left" vertical="center"/>
    </xf>
    <xf numFmtId="0" fontId="0" fillId="8" borderId="10" xfId="0" applyFill="1" applyBorder="1" applyAlignment="1">
      <alignment horizontal="left" vertical="center"/>
    </xf>
    <xf numFmtId="0" fontId="20" fillId="7" borderId="11" xfId="3" applyFill="1" applyBorder="1" applyAlignment="1">
      <alignment horizontal="center" vertical="center"/>
    </xf>
    <xf numFmtId="0" fontId="20" fillId="7" borderId="13" xfId="3" applyFill="1" applyBorder="1" applyAlignment="1">
      <alignment horizontal="center" vertical="center"/>
    </xf>
    <xf numFmtId="0" fontId="0" fillId="7" borderId="4" xfId="0" applyFill="1" applyBorder="1" applyAlignment="1">
      <alignment horizontal="left" vertical="center"/>
    </xf>
    <xf numFmtId="0" fontId="0" fillId="7" borderId="6" xfId="0" applyFill="1" applyBorder="1" applyAlignment="1">
      <alignment horizontal="left" vertical="center"/>
    </xf>
    <xf numFmtId="0" fontId="0" fillId="7" borderId="14" xfId="0" applyFill="1" applyBorder="1" applyAlignment="1">
      <alignment horizontal="left" vertical="center"/>
    </xf>
    <xf numFmtId="0" fontId="0" fillId="0" borderId="0" xfId="0" applyBorder="1" applyAlignment="1">
      <alignment horizontal="left" vertical="center" wrapText="1"/>
    </xf>
  </cellXfs>
  <cellStyles count="4">
    <cellStyle name="Hyperlink" xfId="3" builtinId="8"/>
    <cellStyle name="Normal 2" xfId="1"/>
    <cellStyle name="Standard" xfId="0" builtinId="0"/>
    <cellStyle name="Überschrift 1" xfId="2" builtinId="16"/>
  </cellStyles>
  <dxfs count="17">
    <dxf>
      <alignment horizontal="general" vertical="bottom" textRotation="0" wrapText="1" indent="0" relativeIndent="255" justifyLastLine="0" shrinkToFit="1" readingOrder="0"/>
    </dxf>
    <dxf>
      <font>
        <b/>
        <i val="0"/>
        <strike val="0"/>
        <condense val="0"/>
        <extend val="0"/>
        <outline val="0"/>
        <shadow val="0"/>
        <u val="none"/>
        <vertAlign val="baseline"/>
        <sz val="12"/>
        <color theme="1"/>
        <name val="Calibri"/>
        <scheme val="minor"/>
      </font>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font>
        <b val="0"/>
        <i val="0"/>
        <strike val="0"/>
        <condense val="0"/>
        <extend val="0"/>
        <outline val="0"/>
        <shadow val="0"/>
        <u val="none"/>
        <vertAlign val="baseline"/>
        <sz val="12"/>
        <color theme="1"/>
        <name val="Calibri"/>
        <scheme val="minor"/>
      </font>
    </dxf>
    <dxf>
      <font>
        <b val="0"/>
        <i val="0"/>
        <strike val="0"/>
        <condense val="0"/>
        <extend val="0"/>
        <outline val="0"/>
        <shadow val="0"/>
        <u val="none"/>
        <vertAlign val="baseline"/>
        <sz val="12"/>
        <color theme="1"/>
        <name val="Calibri"/>
        <scheme val="minor"/>
      </font>
      <numFmt numFmtId="0" formatCode="General"/>
      <alignment horizontal="center" vertical="center" textRotation="0" wrapText="0" indent="0" relativeIndent="255" justifyLastLine="0" shrinkToFit="0" readingOrder="0"/>
    </dxf>
    <dxf>
      <font>
        <b val="0"/>
        <i val="0"/>
        <strike val="0"/>
        <condense val="0"/>
        <extend val="0"/>
        <outline val="0"/>
        <shadow val="0"/>
        <u val="none"/>
        <vertAlign val="baseline"/>
        <sz val="12"/>
        <color theme="1"/>
        <name val="Calibri"/>
        <scheme val="minor"/>
      </font>
      <numFmt numFmtId="14" formatCode="0.00%"/>
      <alignment horizontal="center" vertical="center" textRotation="0" wrapText="0" indent="0" relativeIndent="255" justifyLastLine="0" shrinkToFit="0" readingOrder="0"/>
    </dxf>
    <dxf>
      <font>
        <b val="0"/>
        <i val="0"/>
        <strike val="0"/>
        <condense val="0"/>
        <extend val="0"/>
        <outline val="0"/>
        <shadow val="0"/>
        <u val="none"/>
        <vertAlign val="baseline"/>
        <sz val="12"/>
        <color theme="1"/>
        <name val="Calibri"/>
        <scheme val="minor"/>
      </font>
      <alignment horizontal="center" vertical="center" textRotation="0" wrapText="0" indent="0" relativeIndent="255" justifyLastLine="0" shrinkToFit="0" readingOrder="0"/>
    </dxf>
    <dxf>
      <font>
        <b val="0"/>
        <i val="0"/>
        <strike val="0"/>
        <condense val="0"/>
        <extend val="0"/>
        <outline val="0"/>
        <shadow val="0"/>
        <u val="none"/>
        <vertAlign val="baseline"/>
        <sz val="12"/>
        <color theme="1"/>
        <name val="Calibri"/>
        <scheme val="minor"/>
      </font>
      <alignment horizontal="left" vertical="top" textRotation="0" wrapText="0" indent="0" relativeIndent="255" justifyLastLine="0" shrinkToFit="0" readingOrder="0"/>
    </dxf>
    <dxf>
      <font>
        <b val="0"/>
        <i val="0"/>
        <strike val="0"/>
        <condense val="0"/>
        <extend val="0"/>
        <outline val="0"/>
        <shadow val="0"/>
        <u val="none"/>
        <vertAlign val="baseline"/>
        <sz val="12"/>
        <color theme="1"/>
        <name val="Calibri"/>
        <scheme val="minor"/>
      </font>
      <alignment horizontal="center" vertical="center" textRotation="0" wrapText="0" indent="0" relativeIndent="255" justifyLastLine="0" shrinkToFit="0" readingOrder="0"/>
    </dxf>
    <dxf>
      <font>
        <b val="0"/>
        <i val="0"/>
        <strike val="0"/>
        <condense val="0"/>
        <extend val="0"/>
        <outline val="0"/>
        <shadow val="0"/>
        <u val="none"/>
        <vertAlign val="baseline"/>
        <sz val="12"/>
        <color theme="1"/>
        <name val="Calibri"/>
        <scheme val="minor"/>
      </font>
      <alignment horizontal="center" vertical="bottom" textRotation="0" wrapText="0" indent="0" relativeIndent="255" justifyLastLine="0" shrinkToFit="0" readingOrder="0"/>
    </dxf>
    <dxf>
      <font>
        <b val="0"/>
        <i val="0"/>
        <strike val="0"/>
        <condense val="0"/>
        <extend val="0"/>
        <outline val="0"/>
        <shadow val="0"/>
        <u val="none"/>
        <vertAlign val="baseline"/>
        <sz val="12"/>
        <color theme="1"/>
        <name val="Calibri"/>
        <scheme val="minor"/>
      </font>
      <alignment horizontal="center" vertical="bottom" textRotation="0" wrapText="0" indent="0" relativeIndent="255" justifyLastLine="0" shrinkToFit="0" readingOrder="0"/>
    </dxf>
    <dxf>
      <font>
        <b val="0"/>
        <i val="0"/>
        <strike val="0"/>
        <condense val="0"/>
        <extend val="0"/>
        <outline val="0"/>
        <shadow val="0"/>
        <u val="none"/>
        <vertAlign val="baseline"/>
        <sz val="12"/>
        <color theme="1"/>
        <name val="Calibri"/>
        <scheme val="minor"/>
      </font>
      <alignment horizontal="center" vertical="bottom" textRotation="0" wrapText="0" indent="0" relativeIndent="255" justifyLastLine="0" shrinkToFit="0" readingOrder="0"/>
    </dxf>
    <dxf>
      <font>
        <b val="0"/>
        <i val="0"/>
        <strike val="0"/>
        <condense val="0"/>
        <extend val="0"/>
        <outline val="0"/>
        <shadow val="0"/>
        <u val="none"/>
        <vertAlign val="baseline"/>
        <sz val="12"/>
        <color theme="1"/>
        <name val="Calibri"/>
        <scheme val="minor"/>
      </font>
      <alignment horizontal="center" vertical="center" textRotation="0" wrapText="0" indent="0" relativeIndent="255" justifyLastLine="0" shrinkToFit="0" readingOrder="0"/>
    </dxf>
    <dxf>
      <font>
        <b val="0"/>
        <i val="0"/>
        <strike val="0"/>
        <condense val="0"/>
        <extend val="0"/>
        <outline val="0"/>
        <shadow val="0"/>
        <u val="none"/>
        <vertAlign val="baseline"/>
        <sz val="12"/>
        <color theme="1"/>
        <name val="Calibri"/>
        <scheme val="minor"/>
      </font>
      <alignment horizontal="left" vertical="center" textRotation="0" wrapText="1" indent="0" relativeIndent="255" justifyLastLine="0" shrinkToFit="0" readingOrder="0"/>
    </dxf>
    <dxf>
      <font>
        <b val="0"/>
        <i val="0"/>
        <strike val="0"/>
        <condense val="0"/>
        <extend val="0"/>
        <outline val="0"/>
        <shadow val="0"/>
        <u val="none"/>
        <vertAlign val="baseline"/>
        <sz val="12"/>
        <color theme="1"/>
        <name val="Calibri"/>
        <scheme val="minor"/>
      </font>
      <alignment horizontal="left" vertical="center" textRotation="0" wrapText="1" indent="0" relativeIndent="255" justifyLastLine="0" shrinkToFit="0" readingOrder="0"/>
    </dxf>
    <dxf>
      <font>
        <b val="0"/>
        <i val="0"/>
        <strike val="0"/>
        <condense val="0"/>
        <extend val="0"/>
        <outline val="0"/>
        <shadow val="0"/>
        <u val="none"/>
        <vertAlign val="baseline"/>
        <sz val="12"/>
        <color theme="1"/>
        <name val="Calibri"/>
        <scheme val="minor"/>
      </font>
      <alignment horizontal="center" vertical="center" textRotation="0" wrapText="0" indent="0" relativeIndent="255" justifyLastLine="0" shrinkToFit="0" readingOrder="0"/>
    </dxf>
    <dxf>
      <font>
        <b/>
        <i val="0"/>
        <strike val="0"/>
        <condense val="0"/>
        <extend val="0"/>
        <outline val="0"/>
        <shadow val="0"/>
        <u val="none"/>
        <vertAlign val="baseline"/>
        <sz val="14"/>
        <color theme="1"/>
        <name val="Calibri"/>
        <scheme val="minor"/>
      </font>
      <alignment horizontal="center" vertical="center" textRotation="0" wrapText="1" indent="0" relativeIndent="255" justifyLastLine="0" shrinkToFit="0" readingOrder="0"/>
      <border diagonalUp="0" diagonalDown="0" outline="0">
        <left style="thin">
          <color indexed="64"/>
        </left>
        <right style="thin">
          <color indexed="64"/>
        </right>
        <top/>
        <bottom/>
      </border>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7EF8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108</xdr:col>
      <xdr:colOff>0</xdr:colOff>
      <xdr:row>0</xdr:row>
      <xdr:rowOff>0</xdr:rowOff>
    </xdr:from>
    <xdr:to>
      <xdr:col>116</xdr:col>
      <xdr:colOff>254000</xdr:colOff>
      <xdr:row>16</xdr:row>
      <xdr:rowOff>364969</xdr:rowOff>
    </xdr:to>
    <xdr:pic>
      <xdr:nvPicPr>
        <xdr:cNvPr id="1348" name="Picture 2">
          <a:extLst>
            <a:ext uri="{FF2B5EF4-FFF2-40B4-BE49-F238E27FC236}">
              <a16:creationId xmlns:a16="http://schemas.microsoft.com/office/drawing/2014/main" xmlns="" id="{E00B15BD-32C9-994B-8A0C-2D12C93E25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xmlns="" val="0"/>
            </a:ext>
          </a:extLst>
        </a:blip>
        <a:srcRect/>
        <a:stretch>
          <a:fillRect/>
        </a:stretch>
      </xdr:blipFill>
      <xdr:spPr bwMode="auto">
        <a:xfrm>
          <a:off x="81089500" y="0"/>
          <a:ext cx="5638800" cy="5295900"/>
        </a:xfrm>
        <a:prstGeom prst="rect">
          <a:avLst/>
        </a:prstGeom>
        <a:noFill/>
        <a:ln w="38100" cap="sq">
          <a:solidFill>
            <a:srgbClr val="000000"/>
          </a:solidFill>
          <a:miter lim="800000"/>
          <a:headEnd/>
          <a:tailEnd/>
        </a:ln>
        <a:effectLst>
          <a:outerShdw blurRad="50800" dist="38100" dir="2700000" algn="tl" rotWithShape="0">
            <a:srgbClr val="808080">
              <a:alpha val="42998"/>
            </a:srgbClr>
          </a:outerShdw>
        </a:effectLst>
        <a:extLst>
          <a:ext uri="{909E8E84-426E-40dd-AFC4-6F175D3DCCD1}">
            <a14:hiddenFill xmlns:a14="http://schemas.microsoft.com/office/drawing/2010/main" xmlns="">
              <a:solidFill>
                <a:srgbClr val="FFFFFF"/>
              </a:solidFill>
            </a14:hiddenFill>
          </a:ext>
        </a:extLst>
      </xdr:spPr>
    </xdr:pic>
    <xdr:clientData/>
  </xdr:twoCellAnchor>
  <xdr:twoCellAnchor editAs="oneCell">
    <xdr:from>
      <xdr:col>135</xdr:col>
      <xdr:colOff>0</xdr:colOff>
      <xdr:row>0</xdr:row>
      <xdr:rowOff>0</xdr:rowOff>
    </xdr:from>
    <xdr:to>
      <xdr:col>146</xdr:col>
      <xdr:colOff>381003</xdr:colOff>
      <xdr:row>25</xdr:row>
      <xdr:rowOff>1007652</xdr:rowOff>
    </xdr:to>
    <xdr:pic>
      <xdr:nvPicPr>
        <xdr:cNvPr id="1349" name="Picture 3">
          <a:extLst>
            <a:ext uri="{FF2B5EF4-FFF2-40B4-BE49-F238E27FC236}">
              <a16:creationId xmlns:a16="http://schemas.microsoft.com/office/drawing/2014/main" xmlns="" id="{3E1C8935-47DB-384E-9D44-D166CCFB1C8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xmlns="" val="0"/>
            </a:ext>
          </a:extLst>
        </a:blip>
        <a:srcRect/>
        <a:stretch>
          <a:fillRect/>
        </a:stretch>
      </xdr:blipFill>
      <xdr:spPr bwMode="auto">
        <a:xfrm>
          <a:off x="99263200" y="0"/>
          <a:ext cx="7785100" cy="8775700"/>
        </a:xfrm>
        <a:prstGeom prst="rect">
          <a:avLst/>
        </a:prstGeom>
        <a:noFill/>
        <a:ln w="38100" cap="sq">
          <a:solidFill>
            <a:srgbClr val="000000"/>
          </a:solidFill>
          <a:miter lim="800000"/>
          <a:headEnd/>
          <a:tailEnd/>
        </a:ln>
        <a:effectLst>
          <a:outerShdw blurRad="50800" dist="38100" dir="2700000" algn="tl" rotWithShape="0">
            <a:srgbClr val="808080">
              <a:alpha val="42998"/>
            </a:srgbClr>
          </a:outerShdw>
        </a:effectLst>
        <a:extLst>
          <a:ext uri="{909E8E84-426E-40dd-AFC4-6F175D3DCCD1}">
            <a14:hiddenFill xmlns:a14="http://schemas.microsoft.com/office/drawing/2010/main" xmlns="">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254000</xdr:colOff>
      <xdr:row>2</xdr:row>
      <xdr:rowOff>76201</xdr:rowOff>
    </xdr:from>
    <xdr:to>
      <xdr:col>12</xdr:col>
      <xdr:colOff>406400</xdr:colOff>
      <xdr:row>36</xdr:row>
      <xdr:rowOff>186522</xdr:rowOff>
    </xdr:to>
    <xdr:pic>
      <xdr:nvPicPr>
        <xdr:cNvPr id="2" name="Picture 1">
          <a:extLst>
            <a:ext uri="{FF2B5EF4-FFF2-40B4-BE49-F238E27FC236}">
              <a16:creationId xmlns:a16="http://schemas.microsoft.com/office/drawing/2014/main" xmlns="" id="{C6571FA0-391A-5749-9985-8FB726342411}"/>
            </a:ext>
          </a:extLst>
        </xdr:cNvPr>
        <xdr:cNvPicPr>
          <a:picLocks noChangeAspect="1"/>
        </xdr:cNvPicPr>
      </xdr:nvPicPr>
      <xdr:blipFill>
        <a:blip xmlns:r="http://schemas.openxmlformats.org/officeDocument/2006/relationships" r:embed="rId1"/>
        <a:stretch>
          <a:fillRect/>
        </a:stretch>
      </xdr:blipFill>
      <xdr:spPr>
        <a:xfrm>
          <a:off x="254000" y="558801"/>
          <a:ext cx="10058400" cy="7019121"/>
        </a:xfrm>
        <a:prstGeom prst="rect">
          <a:avLst/>
        </a:prstGeom>
      </xdr:spPr>
    </xdr:pic>
    <xdr:clientData/>
  </xdr:twoCellAnchor>
</xdr:wsDr>
</file>

<file path=xl/tables/table1.xml><?xml version="1.0" encoding="utf-8"?>
<table xmlns="http://schemas.openxmlformats.org/spreadsheetml/2006/main" id="1" name="Table1" displayName="Table1" ref="A1:M28" totalsRowShown="0" headerRowDxfId="16">
  <autoFilter ref="A1:M28"/>
  <tableColumns count="13">
    <tableColumn id="1" name="Req.ID" dataDxfId="15"/>
    <tableColumn id="3" name="Requirement" dataDxfId="14"/>
    <tableColumn id="4" name="Description" dataDxfId="13"/>
    <tableColumn id="5" name="Responsibility" dataDxfId="12"/>
    <tableColumn id="6" name="Priority_x000a_1: low 3: high" dataDxfId="11"/>
    <tableColumn id="7" name="Functional Req. ?" dataDxfId="10"/>
    <tableColumn id="8" name="Associated_x000a_Test ID" dataDxfId="9"/>
    <tableColumn id="9" name="% Maturity" dataDxfId="8"/>
    <tableColumn id="12" name="Risk" dataDxfId="7"/>
    <tableColumn id="11" name="Severity_x000a_1: low 3: high" dataDxfId="6"/>
    <tableColumn id="13" name="Probability" dataDxfId="5"/>
    <tableColumn id="2" name="RiskValue" dataDxfId="4">
      <calculatedColumnFormula>IF(F2="yes", J2*K2, " " )</calculatedColumnFormula>
    </tableColumn>
    <tableColumn id="10" name="Remark" dataDxfId="3"/>
  </tableColumns>
  <tableStyleInfo name="TableStyleMedium9" showFirstColumn="0" showLastColumn="0" showRowStripes="1" showColumnStripes="0"/>
</table>
</file>

<file path=xl/tables/table2.xml><?xml version="1.0" encoding="utf-8"?>
<table xmlns="http://schemas.openxmlformats.org/spreadsheetml/2006/main" id="2" name="Table2" displayName="Table2" ref="A1:C10" totalsRowShown="0">
  <autoFilter ref="A1:C10"/>
  <tableColumns count="3">
    <tableColumn id="1" name="Parameter"/>
    <tableColumn id="2" name="Value"/>
    <tableColumn id="3" name="Description"/>
  </tableColumns>
  <tableStyleInfo name="TableStyleMedium9" showFirstColumn="0" showLastColumn="0" showRowStripes="1" showColumnStripes="0"/>
</table>
</file>

<file path=xl/tables/table3.xml><?xml version="1.0" encoding="utf-8"?>
<table xmlns="http://schemas.openxmlformats.org/spreadsheetml/2006/main" id="3" name="Table14" displayName="Table14" ref="B3:D10" totalsRowShown="0">
  <autoFilter ref="B3:D10"/>
  <sortState ref="B4:D9">
    <sortCondition ref="C4"/>
  </sortState>
  <tableColumns count="3">
    <tableColumn id="1" name="no." dataDxfId="2"/>
    <tableColumn id="2" name="item" dataDxfId="1"/>
    <tableColumn id="3" name="Description" dataDxfId="0"/>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sheetPr codeName="Sheet1" enableFormatConditionsCalculation="0"/>
  <dimension ref="A1:J20"/>
  <sheetViews>
    <sheetView topLeftCell="A2" workbookViewId="0">
      <selection activeCell="C15" sqref="C15"/>
    </sheetView>
  </sheetViews>
  <sheetFormatPr baseColWidth="10" defaultColWidth="8.875" defaultRowHeight="15.75"/>
  <cols>
    <col min="3" max="3" width="23.875" customWidth="1"/>
    <col min="4" max="4" width="14.875" customWidth="1"/>
    <col min="5" max="5" width="10.875" customWidth="1"/>
  </cols>
  <sheetData>
    <row r="1" spans="1:10" ht="33.75">
      <c r="A1" s="78">
        <v>43397</v>
      </c>
      <c r="B1" s="79"/>
      <c r="C1" s="79"/>
    </row>
    <row r="2" spans="1:10" ht="23.25">
      <c r="A2" s="80" t="s">
        <v>10</v>
      </c>
      <c r="B2" s="80"/>
      <c r="C2" s="80"/>
      <c r="D2" s="80"/>
      <c r="E2" s="80"/>
      <c r="F2" s="80"/>
      <c r="G2" s="80"/>
      <c r="H2" s="80"/>
    </row>
    <row r="3" spans="1:10">
      <c r="A3" s="6" t="s">
        <v>8</v>
      </c>
      <c r="C3" s="6" t="s">
        <v>25</v>
      </c>
      <c r="D3" s="5"/>
      <c r="E3" s="5"/>
      <c r="F3" s="5"/>
      <c r="G3" s="5"/>
      <c r="H3" s="5"/>
    </row>
    <row r="4" spans="1:10" ht="41.45" customHeight="1">
      <c r="A4" s="81" t="s">
        <v>11</v>
      </c>
      <c r="B4" s="82"/>
      <c r="C4" s="82"/>
      <c r="D4" s="82"/>
      <c r="E4" s="82"/>
      <c r="F4" s="82"/>
      <c r="G4" s="82"/>
      <c r="H4" s="82"/>
      <c r="I4" s="82"/>
      <c r="J4" s="82"/>
    </row>
    <row r="5" spans="1:10" ht="13.5" customHeight="1"/>
    <row r="6" spans="1:10" ht="45.2" customHeight="1">
      <c r="A6" s="83" t="s">
        <v>12</v>
      </c>
      <c r="B6" s="84"/>
      <c r="C6" s="84"/>
      <c r="D6" s="84"/>
      <c r="E6" s="84"/>
      <c r="F6" s="84"/>
      <c r="G6" s="84"/>
      <c r="H6" s="84"/>
      <c r="I6" s="84"/>
      <c r="J6" s="84"/>
    </row>
    <row r="8" spans="1:10">
      <c r="A8" s="85" t="s">
        <v>1</v>
      </c>
      <c r="B8" s="85"/>
    </row>
    <row r="9" spans="1:10" ht="30">
      <c r="A9" s="3" t="s">
        <v>2</v>
      </c>
      <c r="B9" s="4" t="s">
        <v>0</v>
      </c>
      <c r="C9" s="4" t="s">
        <v>3</v>
      </c>
      <c r="D9" s="4" t="s">
        <v>4</v>
      </c>
      <c r="E9" s="4" t="s">
        <v>5</v>
      </c>
    </row>
    <row r="10" spans="1:10">
      <c r="A10">
        <v>1</v>
      </c>
      <c r="B10" t="s">
        <v>6</v>
      </c>
      <c r="C10" t="s">
        <v>7</v>
      </c>
      <c r="D10" t="s">
        <v>61</v>
      </c>
      <c r="E10" s="1">
        <v>43397</v>
      </c>
    </row>
    <row r="11" spans="1:10">
      <c r="A11">
        <v>2</v>
      </c>
      <c r="B11" t="s">
        <v>6</v>
      </c>
      <c r="C11" t="s">
        <v>104</v>
      </c>
      <c r="D11" t="s">
        <v>105</v>
      </c>
      <c r="E11" s="1">
        <v>43402</v>
      </c>
    </row>
    <row r="12" spans="1:10">
      <c r="A12">
        <v>3</v>
      </c>
      <c r="B12" t="s">
        <v>6</v>
      </c>
      <c r="C12" t="s">
        <v>199</v>
      </c>
      <c r="D12" t="s">
        <v>106</v>
      </c>
      <c r="E12" s="1">
        <v>43402</v>
      </c>
    </row>
    <row r="13" spans="1:10">
      <c r="A13">
        <v>4</v>
      </c>
      <c r="B13" t="s">
        <v>241</v>
      </c>
      <c r="C13" t="s">
        <v>242</v>
      </c>
      <c r="D13" t="s">
        <v>243</v>
      </c>
      <c r="E13" s="1">
        <v>43427</v>
      </c>
    </row>
    <row r="14" spans="1:10">
      <c r="A14">
        <v>5</v>
      </c>
      <c r="E14" s="1"/>
    </row>
    <row r="15" spans="1:10">
      <c r="A15">
        <v>6</v>
      </c>
      <c r="C15" s="2"/>
      <c r="E15" s="1"/>
    </row>
    <row r="16" spans="1:10">
      <c r="A16">
        <v>7</v>
      </c>
      <c r="C16" s="2"/>
      <c r="E16" s="1"/>
    </row>
    <row r="17" spans="1:5">
      <c r="A17">
        <v>8</v>
      </c>
      <c r="C17" s="2"/>
      <c r="E17" s="1"/>
    </row>
    <row r="18" spans="1:5">
      <c r="A18">
        <v>9</v>
      </c>
      <c r="C18" s="2"/>
      <c r="E18" s="1"/>
    </row>
    <row r="19" spans="1:5">
      <c r="A19">
        <v>10</v>
      </c>
      <c r="C19" s="2"/>
      <c r="E19" s="1"/>
    </row>
    <row r="20" spans="1:5">
      <c r="A20">
        <v>11</v>
      </c>
      <c r="C20" s="2"/>
      <c r="E20" s="1"/>
    </row>
  </sheetData>
  <mergeCells count="5">
    <mergeCell ref="A1:C1"/>
    <mergeCell ref="A2:H2"/>
    <mergeCell ref="A4:J4"/>
    <mergeCell ref="A6:J6"/>
    <mergeCell ref="A8:B8"/>
  </mergeCells>
  <pageMargins left="0.7" right="0.7" top="0.75" bottom="0.75" header="0.3" footer="0.3"/>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sheetPr codeName="Sheet2" enableFormatConditionsCalculation="0"/>
  <dimension ref="A1:M31"/>
  <sheetViews>
    <sheetView topLeftCell="A7" workbookViewId="0">
      <selection activeCell="B17" sqref="B17"/>
    </sheetView>
  </sheetViews>
  <sheetFormatPr baseColWidth="10" defaultColWidth="8.875" defaultRowHeight="15.75"/>
  <cols>
    <col min="1" max="1" width="17.625" style="2" customWidth="1"/>
    <col min="2" max="2" width="83.125" style="8" customWidth="1"/>
    <col min="3" max="3" width="36.375" style="2" hidden="1" customWidth="1"/>
    <col min="4" max="4" width="0.125" style="2" customWidth="1"/>
    <col min="5" max="5" width="16.125" style="7" customWidth="1"/>
    <col min="6" max="6" width="20.625" style="7" customWidth="1"/>
    <col min="7" max="7" width="33" style="7" hidden="1" customWidth="1"/>
    <col min="8" max="8" width="17" style="2" customWidth="1"/>
    <col min="9" max="9" width="43.375" style="2" customWidth="1"/>
    <col min="10" max="12" width="17" style="2" customWidth="1"/>
    <col min="13" max="13" width="17.375" style="2" customWidth="1"/>
    <col min="14" max="16384" width="8.875" style="2"/>
  </cols>
  <sheetData>
    <row r="1" spans="1:13" s="8" customFormat="1" ht="42" customHeight="1">
      <c r="A1" s="12" t="s">
        <v>13</v>
      </c>
      <c r="B1" s="12" t="s">
        <v>14</v>
      </c>
      <c r="C1" s="12" t="s">
        <v>15</v>
      </c>
      <c r="D1" s="12" t="s">
        <v>85</v>
      </c>
      <c r="E1" s="18" t="s">
        <v>60</v>
      </c>
      <c r="F1" s="12" t="s">
        <v>17</v>
      </c>
      <c r="G1" s="12" t="s">
        <v>24</v>
      </c>
      <c r="H1" s="18" t="s">
        <v>16</v>
      </c>
      <c r="I1" s="18" t="s">
        <v>232</v>
      </c>
      <c r="J1" s="18" t="s">
        <v>235</v>
      </c>
      <c r="K1" s="18" t="s">
        <v>233</v>
      </c>
      <c r="L1" s="18" t="s">
        <v>234</v>
      </c>
      <c r="M1" s="12" t="s">
        <v>9</v>
      </c>
    </row>
    <row r="2" spans="1:13">
      <c r="A2" s="13" t="s">
        <v>26</v>
      </c>
      <c r="B2" s="14" t="s">
        <v>200</v>
      </c>
      <c r="C2" s="14"/>
      <c r="D2" s="13"/>
      <c r="E2" s="15">
        <v>3</v>
      </c>
      <c r="F2" s="15" t="s">
        <v>19</v>
      </c>
      <c r="G2" s="66" t="s">
        <v>107</v>
      </c>
      <c r="H2" s="13">
        <v>0</v>
      </c>
      <c r="I2" s="75" t="s">
        <v>244</v>
      </c>
      <c r="J2" s="13">
        <v>3</v>
      </c>
      <c r="K2" s="74">
        <v>0.3</v>
      </c>
      <c r="L2" s="77">
        <f t="shared" ref="L2:L28" si="0">IF(F2="yes", J2*K2, " " )</f>
        <v>0.89999999999999991</v>
      </c>
      <c r="M2" s="16"/>
    </row>
    <row r="3" spans="1:13">
      <c r="A3" s="13" t="s">
        <v>27</v>
      </c>
      <c r="B3" s="14" t="s">
        <v>52</v>
      </c>
      <c r="C3" s="17"/>
      <c r="D3" s="13"/>
      <c r="E3" s="15">
        <v>3</v>
      </c>
      <c r="F3" s="15" t="s">
        <v>19</v>
      </c>
      <c r="G3" s="66" t="s">
        <v>110</v>
      </c>
      <c r="H3" s="13">
        <v>0</v>
      </c>
      <c r="I3" s="75" t="s">
        <v>244</v>
      </c>
      <c r="J3" s="13">
        <v>3</v>
      </c>
      <c r="K3" s="74">
        <v>0.25</v>
      </c>
      <c r="L3" s="13">
        <f t="shared" si="0"/>
        <v>0.75</v>
      </c>
      <c r="M3" s="16"/>
    </row>
    <row r="4" spans="1:13">
      <c r="A4" s="13" t="s">
        <v>28</v>
      </c>
      <c r="B4" s="14" t="s">
        <v>98</v>
      </c>
      <c r="C4" s="17"/>
      <c r="D4" s="13"/>
      <c r="E4" s="15">
        <v>3</v>
      </c>
      <c r="F4" s="15" t="s">
        <v>19</v>
      </c>
      <c r="G4" s="66" t="s">
        <v>116</v>
      </c>
      <c r="H4" s="13">
        <v>0</v>
      </c>
      <c r="I4" s="75" t="s">
        <v>244</v>
      </c>
      <c r="J4" s="13">
        <v>3</v>
      </c>
      <c r="K4" s="74">
        <v>0.5</v>
      </c>
      <c r="L4" s="13">
        <f t="shared" si="0"/>
        <v>1.5</v>
      </c>
      <c r="M4" s="16"/>
    </row>
    <row r="5" spans="1:13">
      <c r="A5" s="13" t="s">
        <v>29</v>
      </c>
      <c r="B5" s="14" t="s">
        <v>50</v>
      </c>
      <c r="C5" s="17"/>
      <c r="D5" s="13"/>
      <c r="E5" s="15">
        <v>3</v>
      </c>
      <c r="F5" s="15" t="s">
        <v>19</v>
      </c>
      <c r="G5" s="66" t="s">
        <v>122</v>
      </c>
      <c r="H5" s="13">
        <v>0</v>
      </c>
      <c r="I5" s="75" t="s">
        <v>244</v>
      </c>
      <c r="J5" s="13">
        <v>3</v>
      </c>
      <c r="K5" s="74">
        <v>0.1</v>
      </c>
      <c r="L5" s="13">
        <f t="shared" si="0"/>
        <v>0.30000000000000004</v>
      </c>
      <c r="M5" s="16"/>
    </row>
    <row r="6" spans="1:13">
      <c r="A6" s="13" t="s">
        <v>30</v>
      </c>
      <c r="B6" s="14" t="s">
        <v>51</v>
      </c>
      <c r="C6" s="17"/>
      <c r="D6" s="13"/>
      <c r="E6" s="15">
        <v>1</v>
      </c>
      <c r="F6" s="15" t="s">
        <v>18</v>
      </c>
      <c r="G6" s="15"/>
      <c r="H6" s="13">
        <v>0</v>
      </c>
      <c r="I6" s="76"/>
      <c r="J6" s="13"/>
      <c r="K6" s="74"/>
      <c r="L6" s="13" t="str">
        <f t="shared" si="0"/>
        <v xml:space="preserve"> </v>
      </c>
      <c r="M6" s="16"/>
    </row>
    <row r="7" spans="1:13" ht="15.6" customHeight="1">
      <c r="A7" s="13" t="s">
        <v>31</v>
      </c>
      <c r="B7" s="14" t="s">
        <v>90</v>
      </c>
      <c r="C7" s="14"/>
      <c r="D7" s="13"/>
      <c r="E7" s="15">
        <v>1</v>
      </c>
      <c r="F7" s="15" t="s">
        <v>18</v>
      </c>
      <c r="G7" s="15"/>
      <c r="H7" s="13">
        <v>0</v>
      </c>
      <c r="I7" s="76"/>
      <c r="J7" s="13"/>
      <c r="K7" s="74"/>
      <c r="L7" s="13" t="str">
        <f t="shared" si="0"/>
        <v xml:space="preserve"> </v>
      </c>
      <c r="M7" s="16"/>
    </row>
    <row r="8" spans="1:13" ht="69" customHeight="1">
      <c r="A8" s="13" t="s">
        <v>32</v>
      </c>
      <c r="B8" s="14" t="s">
        <v>54</v>
      </c>
      <c r="C8" s="14"/>
      <c r="D8" s="13"/>
      <c r="E8" s="15">
        <v>3</v>
      </c>
      <c r="F8" s="15" t="s">
        <v>19</v>
      </c>
      <c r="G8" s="66" t="s">
        <v>126</v>
      </c>
      <c r="H8" s="13">
        <v>0</v>
      </c>
      <c r="I8" s="75" t="s">
        <v>236</v>
      </c>
      <c r="J8" s="13">
        <v>1</v>
      </c>
      <c r="K8" s="74">
        <v>0.75</v>
      </c>
      <c r="L8" s="13">
        <f t="shared" si="0"/>
        <v>0.75</v>
      </c>
      <c r="M8" s="16"/>
    </row>
    <row r="9" spans="1:13" ht="15.6" customHeight="1">
      <c r="A9" s="13" t="s">
        <v>33</v>
      </c>
      <c r="B9" s="14" t="s">
        <v>86</v>
      </c>
      <c r="C9" s="14"/>
      <c r="D9" s="13"/>
      <c r="E9" s="15">
        <v>1</v>
      </c>
      <c r="F9" s="15" t="s">
        <v>19</v>
      </c>
      <c r="G9" s="66" t="s">
        <v>137</v>
      </c>
      <c r="H9" s="13">
        <v>0</v>
      </c>
      <c r="I9" s="76" t="s">
        <v>247</v>
      </c>
      <c r="J9" s="13">
        <v>0</v>
      </c>
      <c r="K9" s="74">
        <v>0.5</v>
      </c>
      <c r="L9" s="13">
        <f t="shared" si="0"/>
        <v>0</v>
      </c>
      <c r="M9" s="16"/>
    </row>
    <row r="10" spans="1:13" ht="15.6" customHeight="1">
      <c r="A10" s="13" t="s">
        <v>34</v>
      </c>
      <c r="B10" s="14" t="s">
        <v>62</v>
      </c>
      <c r="C10" s="14"/>
      <c r="D10" s="13"/>
      <c r="E10" s="15">
        <v>1</v>
      </c>
      <c r="F10" s="15" t="s">
        <v>19</v>
      </c>
      <c r="G10" s="66" t="s">
        <v>142</v>
      </c>
      <c r="H10" s="13">
        <v>0</v>
      </c>
      <c r="I10" s="76" t="s">
        <v>237</v>
      </c>
      <c r="J10" s="13">
        <v>1</v>
      </c>
      <c r="K10" s="74">
        <v>0.05</v>
      </c>
      <c r="L10" s="13">
        <f t="shared" si="0"/>
        <v>0.05</v>
      </c>
      <c r="M10" s="16"/>
    </row>
    <row r="11" spans="1:13" ht="15.6" customHeight="1">
      <c r="A11" s="13" t="s">
        <v>35</v>
      </c>
      <c r="B11" s="14" t="s">
        <v>63</v>
      </c>
      <c r="C11" s="14"/>
      <c r="D11" s="13"/>
      <c r="E11" s="15">
        <v>2</v>
      </c>
      <c r="F11" s="15" t="s">
        <v>18</v>
      </c>
      <c r="H11" s="13">
        <v>0</v>
      </c>
      <c r="I11" s="76"/>
      <c r="J11" s="13"/>
      <c r="K11" s="74"/>
      <c r="L11" s="13" t="str">
        <f t="shared" si="0"/>
        <v xml:space="preserve"> </v>
      </c>
      <c r="M11" s="16"/>
    </row>
    <row r="12" spans="1:13" ht="15.6" customHeight="1">
      <c r="A12" s="13" t="s">
        <v>37</v>
      </c>
      <c r="B12" s="14" t="s">
        <v>64</v>
      </c>
      <c r="C12" s="14"/>
      <c r="D12" s="13"/>
      <c r="E12" s="15">
        <v>2</v>
      </c>
      <c r="F12" s="15" t="s">
        <v>18</v>
      </c>
      <c r="G12" s="15"/>
      <c r="H12" s="13">
        <v>0</v>
      </c>
      <c r="I12" s="76"/>
      <c r="J12" s="13"/>
      <c r="K12" s="74"/>
      <c r="L12" s="13" t="str">
        <f t="shared" si="0"/>
        <v xml:space="preserve"> </v>
      </c>
      <c r="M12" s="16"/>
    </row>
    <row r="13" spans="1:13" ht="15.6" customHeight="1">
      <c r="A13" s="13" t="s">
        <v>38</v>
      </c>
      <c r="B13" s="14" t="s">
        <v>65</v>
      </c>
      <c r="C13" s="14"/>
      <c r="D13" s="13"/>
      <c r="E13" s="15">
        <v>2</v>
      </c>
      <c r="F13" s="15" t="s">
        <v>18</v>
      </c>
      <c r="G13" s="15"/>
      <c r="H13" s="13">
        <v>0</v>
      </c>
      <c r="I13" s="76"/>
      <c r="J13" s="13"/>
      <c r="K13" s="74"/>
      <c r="L13" s="13" t="str">
        <f t="shared" si="0"/>
        <v xml:space="preserve"> </v>
      </c>
      <c r="M13" s="16"/>
    </row>
    <row r="14" spans="1:13" ht="15.6" customHeight="1">
      <c r="A14" s="13" t="s">
        <v>83</v>
      </c>
      <c r="B14" s="14" t="s">
        <v>74</v>
      </c>
      <c r="C14" s="14"/>
      <c r="D14" s="13"/>
      <c r="E14" s="15">
        <v>2</v>
      </c>
      <c r="F14" s="15" t="s">
        <v>18</v>
      </c>
      <c r="G14" s="15"/>
      <c r="H14" s="13">
        <v>0</v>
      </c>
      <c r="I14" s="76"/>
      <c r="J14" s="13"/>
      <c r="K14" s="74"/>
      <c r="L14" s="13" t="str">
        <f t="shared" si="0"/>
        <v xml:space="preserve"> </v>
      </c>
      <c r="M14" s="16"/>
    </row>
    <row r="15" spans="1:13" ht="15.6" customHeight="1">
      <c r="A15" s="13" t="s">
        <v>39</v>
      </c>
      <c r="B15" s="104" t="s">
        <v>250</v>
      </c>
      <c r="C15" s="14"/>
      <c r="D15" s="13"/>
      <c r="E15" s="15">
        <v>3</v>
      </c>
      <c r="F15" s="15" t="s">
        <v>19</v>
      </c>
      <c r="G15" s="66" t="s">
        <v>149</v>
      </c>
      <c r="H15" s="13">
        <v>0</v>
      </c>
      <c r="I15" s="76" t="s">
        <v>238</v>
      </c>
      <c r="J15" s="13">
        <v>3</v>
      </c>
      <c r="K15" s="74">
        <v>0.05</v>
      </c>
      <c r="L15" s="13">
        <f t="shared" si="0"/>
        <v>0.15000000000000002</v>
      </c>
      <c r="M15" s="16"/>
    </row>
    <row r="16" spans="1:13" ht="52.35" customHeight="1">
      <c r="A16" s="13" t="s">
        <v>40</v>
      </c>
      <c r="B16" s="14" t="s">
        <v>53</v>
      </c>
      <c r="C16" s="14"/>
      <c r="D16" s="13"/>
      <c r="E16" s="15">
        <v>3</v>
      </c>
      <c r="F16" s="15" t="s">
        <v>19</v>
      </c>
      <c r="G16" s="66" t="s">
        <v>156</v>
      </c>
      <c r="H16" s="13">
        <v>0</v>
      </c>
      <c r="I16" s="75" t="s">
        <v>239</v>
      </c>
      <c r="J16" s="13">
        <v>2</v>
      </c>
      <c r="K16" s="74">
        <v>0.05</v>
      </c>
      <c r="L16" s="13">
        <f t="shared" si="0"/>
        <v>0.1</v>
      </c>
      <c r="M16" s="16"/>
    </row>
    <row r="17" spans="1:13" ht="36.6" customHeight="1">
      <c r="A17" s="13" t="s">
        <v>41</v>
      </c>
      <c r="B17" s="14" t="s">
        <v>79</v>
      </c>
      <c r="C17" s="14"/>
      <c r="D17" s="13"/>
      <c r="E17" s="15">
        <v>2</v>
      </c>
      <c r="F17" s="15" t="s">
        <v>19</v>
      </c>
      <c r="G17" s="66" t="s">
        <v>159</v>
      </c>
      <c r="H17" s="13">
        <v>0</v>
      </c>
      <c r="I17" s="75" t="s">
        <v>249</v>
      </c>
      <c r="J17" s="13">
        <v>1</v>
      </c>
      <c r="K17" s="74">
        <v>0.9</v>
      </c>
      <c r="L17" s="13">
        <f t="shared" si="0"/>
        <v>0.9</v>
      </c>
      <c r="M17" s="16"/>
    </row>
    <row r="18" spans="1:13" ht="15.6" customHeight="1">
      <c r="A18" s="13" t="s">
        <v>42</v>
      </c>
      <c r="B18" s="14" t="s">
        <v>87</v>
      </c>
      <c r="C18" s="14"/>
      <c r="D18" s="13"/>
      <c r="E18" s="15">
        <v>3</v>
      </c>
      <c r="F18" s="15" t="s">
        <v>18</v>
      </c>
      <c r="G18" s="15"/>
      <c r="H18" s="13">
        <v>0</v>
      </c>
      <c r="I18" s="76"/>
      <c r="J18" s="13"/>
      <c r="K18" s="74"/>
      <c r="L18" s="13" t="str">
        <f t="shared" si="0"/>
        <v xml:space="preserve"> </v>
      </c>
      <c r="M18" s="16"/>
    </row>
    <row r="19" spans="1:13" ht="34.35" customHeight="1">
      <c r="A19" s="13" t="s">
        <v>43</v>
      </c>
      <c r="B19" s="14" t="s">
        <v>94</v>
      </c>
      <c r="C19" s="14"/>
      <c r="D19" s="13"/>
      <c r="E19" s="15">
        <v>2</v>
      </c>
      <c r="F19" s="15" t="s">
        <v>19</v>
      </c>
      <c r="G19" s="66" t="s">
        <v>161</v>
      </c>
      <c r="H19" s="13">
        <v>0</v>
      </c>
      <c r="I19" s="75" t="s">
        <v>245</v>
      </c>
      <c r="J19" s="13">
        <v>3</v>
      </c>
      <c r="K19" s="74">
        <v>0.05</v>
      </c>
      <c r="L19" s="13">
        <f t="shared" si="0"/>
        <v>0.15000000000000002</v>
      </c>
      <c r="M19" s="16"/>
    </row>
    <row r="20" spans="1:13" ht="15.6" customHeight="1">
      <c r="A20" s="13" t="s">
        <v>44</v>
      </c>
      <c r="B20" s="14" t="s">
        <v>88</v>
      </c>
      <c r="C20" s="14"/>
      <c r="D20" s="13"/>
      <c r="E20" s="15">
        <v>2</v>
      </c>
      <c r="F20" s="15" t="s">
        <v>18</v>
      </c>
      <c r="G20" s="15"/>
      <c r="H20" s="13">
        <v>0</v>
      </c>
      <c r="I20" s="76"/>
      <c r="J20" s="13"/>
      <c r="K20" s="74"/>
      <c r="L20" s="13" t="str">
        <f t="shared" si="0"/>
        <v xml:space="preserve"> </v>
      </c>
      <c r="M20" s="16"/>
    </row>
    <row r="21" spans="1:13" ht="15.6" customHeight="1">
      <c r="A21" s="13" t="s">
        <v>45</v>
      </c>
      <c r="B21" s="14" t="s">
        <v>55</v>
      </c>
      <c r="C21" s="14"/>
      <c r="D21" s="13"/>
      <c r="E21" s="15">
        <v>2</v>
      </c>
      <c r="F21" s="15" t="s">
        <v>18</v>
      </c>
      <c r="G21" s="15"/>
      <c r="H21" s="13">
        <v>0</v>
      </c>
      <c r="I21" s="76"/>
      <c r="J21" s="13"/>
      <c r="K21" s="74"/>
      <c r="L21" s="13" t="str">
        <f t="shared" si="0"/>
        <v xml:space="preserve"> </v>
      </c>
      <c r="M21" s="16"/>
    </row>
    <row r="22" spans="1:13" ht="15.6" customHeight="1">
      <c r="A22" s="13" t="s">
        <v>46</v>
      </c>
      <c r="B22" s="14" t="s">
        <v>89</v>
      </c>
      <c r="C22" s="14"/>
      <c r="D22" s="13"/>
      <c r="E22" s="15">
        <v>2</v>
      </c>
      <c r="F22" s="15" t="s">
        <v>18</v>
      </c>
      <c r="G22" s="15"/>
      <c r="H22" s="13">
        <v>0</v>
      </c>
      <c r="I22" s="76"/>
      <c r="J22" s="13"/>
      <c r="K22" s="74"/>
      <c r="L22" s="13" t="str">
        <f t="shared" si="0"/>
        <v xml:space="preserve"> </v>
      </c>
      <c r="M22" s="16"/>
    </row>
    <row r="23" spans="1:13" ht="15.6" hidden="1" customHeight="1">
      <c r="A23" s="13" t="s">
        <v>47</v>
      </c>
      <c r="B23" s="14" t="s">
        <v>56</v>
      </c>
      <c r="C23" s="14"/>
      <c r="D23" s="13"/>
      <c r="E23" s="15">
        <v>3</v>
      </c>
      <c r="F23" s="15" t="s">
        <v>19</v>
      </c>
      <c r="G23" s="66" t="s">
        <v>164</v>
      </c>
      <c r="H23" s="13">
        <v>0</v>
      </c>
      <c r="I23" s="75" t="s">
        <v>240</v>
      </c>
      <c r="J23" s="13">
        <v>3</v>
      </c>
      <c r="K23" s="74">
        <v>0.1</v>
      </c>
      <c r="L23" s="13">
        <f t="shared" si="0"/>
        <v>0.30000000000000004</v>
      </c>
      <c r="M23" s="16"/>
    </row>
    <row r="24" spans="1:13" ht="15.6" customHeight="1">
      <c r="A24" s="13" t="s">
        <v>70</v>
      </c>
      <c r="B24" s="14" t="s">
        <v>80</v>
      </c>
      <c r="C24" s="14"/>
      <c r="D24" s="13"/>
      <c r="E24" s="15">
        <v>3</v>
      </c>
      <c r="F24" s="15" t="s">
        <v>19</v>
      </c>
      <c r="G24" s="66" t="s">
        <v>168</v>
      </c>
      <c r="H24" s="13">
        <v>0</v>
      </c>
      <c r="I24" s="75" t="s">
        <v>246</v>
      </c>
      <c r="J24" s="13">
        <v>3</v>
      </c>
      <c r="K24" s="74">
        <v>0.3</v>
      </c>
      <c r="L24" s="13">
        <f t="shared" si="0"/>
        <v>0.89999999999999991</v>
      </c>
      <c r="M24" s="16"/>
    </row>
    <row r="25" spans="1:13" ht="68.45" customHeight="1">
      <c r="A25" s="13" t="s">
        <v>72</v>
      </c>
      <c r="B25" s="14" t="s">
        <v>84</v>
      </c>
      <c r="C25" s="14"/>
      <c r="D25" s="13"/>
      <c r="E25" s="15">
        <v>3</v>
      </c>
      <c r="F25" s="15" t="s">
        <v>19</v>
      </c>
      <c r="G25" s="66" t="s">
        <v>171</v>
      </c>
      <c r="H25" s="13">
        <v>0</v>
      </c>
      <c r="I25" s="75" t="s">
        <v>248</v>
      </c>
      <c r="J25" s="13">
        <v>2</v>
      </c>
      <c r="K25" s="74">
        <v>0.5</v>
      </c>
      <c r="L25" s="13">
        <f t="shared" si="0"/>
        <v>1</v>
      </c>
      <c r="M25" s="16"/>
    </row>
    <row r="26" spans="1:13" ht="85.7" customHeight="1">
      <c r="A26" s="13" t="s">
        <v>102</v>
      </c>
      <c r="B26" s="73" t="s">
        <v>217</v>
      </c>
      <c r="C26" s="14"/>
      <c r="D26" s="13"/>
      <c r="E26" s="15">
        <v>2</v>
      </c>
      <c r="F26" s="15" t="s">
        <v>18</v>
      </c>
      <c r="G26" s="15"/>
      <c r="H26" s="13">
        <v>0</v>
      </c>
      <c r="I26" s="76"/>
      <c r="J26" s="13"/>
      <c r="K26" s="74"/>
      <c r="L26" s="13" t="str">
        <f t="shared" si="0"/>
        <v xml:space="preserve"> </v>
      </c>
      <c r="M26" s="16"/>
    </row>
    <row r="27" spans="1:13" ht="15.6" customHeight="1">
      <c r="A27" s="13" t="s">
        <v>48</v>
      </c>
      <c r="B27" s="14" t="s">
        <v>57</v>
      </c>
      <c r="C27" s="14"/>
      <c r="D27" s="13"/>
      <c r="E27" s="15">
        <v>1</v>
      </c>
      <c r="F27" s="15" t="s">
        <v>18</v>
      </c>
      <c r="G27" s="15"/>
      <c r="H27" s="13">
        <v>0</v>
      </c>
      <c r="I27" s="76"/>
      <c r="J27" s="13"/>
      <c r="K27" s="74"/>
      <c r="L27" s="13" t="str">
        <f t="shared" si="0"/>
        <v xml:space="preserve"> </v>
      </c>
      <c r="M27" s="16"/>
    </row>
    <row r="28" spans="1:13" ht="15.6" customHeight="1">
      <c r="A28" s="13" t="s">
        <v>49</v>
      </c>
      <c r="B28" s="14" t="s">
        <v>58</v>
      </c>
      <c r="C28" s="14"/>
      <c r="D28" s="13"/>
      <c r="E28" s="15">
        <v>1</v>
      </c>
      <c r="F28" s="15" t="s">
        <v>18</v>
      </c>
      <c r="G28" s="15"/>
      <c r="H28" s="13">
        <v>0</v>
      </c>
      <c r="I28" s="76"/>
      <c r="J28" s="13"/>
      <c r="K28" s="74"/>
      <c r="L28" s="13" t="str">
        <f t="shared" si="0"/>
        <v xml:space="preserve"> </v>
      </c>
      <c r="M28" s="16"/>
    </row>
    <row r="29" spans="1:13" ht="15.6" customHeight="1"/>
    <row r="30" spans="1:13" ht="15.6" customHeight="1"/>
    <row r="31" spans="1:13">
      <c r="E31" s="9"/>
    </row>
  </sheetData>
  <phoneticPr fontId="1" type="noConversion"/>
  <conditionalFormatting sqref="H26:L28 L2:L25 H2:I25">
    <cfRule type="colorScale" priority="4">
      <colorScale>
        <cfvo type="num" val="0"/>
        <cfvo type="percentile" val="50"/>
        <cfvo type="num" val="100"/>
        <color rgb="FFFF0000"/>
        <color rgb="FFFFEB84"/>
        <color rgb="FF63BE7B"/>
      </colorScale>
    </cfRule>
  </conditionalFormatting>
  <conditionalFormatting sqref="L2:L28">
    <cfRule type="colorScale" priority="9">
      <colorScale>
        <cfvo type="min" val="0"/>
        <cfvo type="percentile" val="50"/>
        <cfvo type="max" val="0"/>
        <color rgb="FF00B050"/>
        <color rgb="FFFFEB84"/>
        <color rgb="FFFF0000"/>
      </colorScale>
    </cfRule>
  </conditionalFormatting>
  <conditionalFormatting sqref="J2:J28">
    <cfRule type="colorScale" priority="11">
      <colorScale>
        <cfvo type="percent" val="0"/>
        <cfvo type="percentile" val="50"/>
        <cfvo type="percent" val="100"/>
        <color rgb="FF00B050"/>
        <color rgb="FFFFEB84"/>
        <color rgb="FFFF0000"/>
      </colorScale>
    </cfRule>
  </conditionalFormatting>
  <conditionalFormatting sqref="K2:K28">
    <cfRule type="colorScale" priority="13">
      <colorScale>
        <cfvo type="percent" val="0"/>
        <cfvo type="percent" val="50"/>
        <cfvo type="percent" val="100"/>
        <color rgb="FF00B050"/>
        <color rgb="FFFFEB84"/>
        <color rgb="FFFF0000"/>
      </colorScale>
    </cfRule>
  </conditionalFormatting>
  <hyperlinks>
    <hyperlink ref="G2" location="'Test Plan'!A3" display="T-FUNC-001"/>
    <hyperlink ref="G3" location="'Test Plan'!A8" display="T-FUNC-002"/>
    <hyperlink ref="G4" location="'Test Plan'!A13" display="T-FUNC-003"/>
    <hyperlink ref="G5" location="'Test Plan'!A16" display="T-FUNC-004"/>
    <hyperlink ref="G8" location="'Test Plan'!A18" display="T-FUNC-005"/>
    <hyperlink ref="G9" location="'Test Plan'!A24" display="T-FUNC-006"/>
    <hyperlink ref="G10" location="'Test Plan'!A26" display="T-FUNC-007"/>
    <hyperlink ref="G15" location="'Test Plan'!A29" display="T-FUNC-009"/>
    <hyperlink ref="G16" location="'Test Plan'!A31" display="T-FUNC-010"/>
    <hyperlink ref="G17" location="'Test Plan'!A32" display="T-FUNC-011"/>
    <hyperlink ref="G19" location="'Test Plan'!A33" display="T-FUNC-012"/>
    <hyperlink ref="G23" location="'Test Plan'!A34" display="T-FUNC-013"/>
    <hyperlink ref="G24" location="'Test Plan'!A35" display="T-FUNC-014"/>
    <hyperlink ref="G25" location="'Test Plan'!A36" display="T-FUNC-015"/>
  </hyperlinks>
  <pageMargins left="0.7" right="0.7" top="0.75" bottom="0.75" header="0.3" footer="0.3"/>
  <drawing r:id="rId1"/>
  <tableParts count="1">
    <tablePart r:id="rId2"/>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dimension ref="A1:A2"/>
  <sheetViews>
    <sheetView zoomScale="85" zoomScaleNormal="85" zoomScalePageLayoutView="85" workbookViewId="0">
      <selection activeCell="P21" sqref="P21"/>
    </sheetView>
  </sheetViews>
  <sheetFormatPr baseColWidth="10" defaultColWidth="11.125" defaultRowHeight="15.75"/>
  <sheetData>
    <row r="1" spans="1:1" ht="20.25" thickBot="1">
      <c r="A1" s="19" t="s">
        <v>103</v>
      </c>
    </row>
    <row r="2" spans="1:1" ht="16.5" thickTop="1"/>
  </sheetData>
  <pageMargins left="0.7" right="0.7" top="0.75" bottom="0.75" header="0.3" footer="0.3"/>
  <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sheetPr codeName="Sheet4" enableFormatConditionsCalculation="0"/>
  <dimension ref="A1:C10"/>
  <sheetViews>
    <sheetView zoomScale="130" zoomScaleNormal="130" zoomScalePageLayoutView="130" workbookViewId="0">
      <selection activeCell="A6" sqref="A6"/>
    </sheetView>
  </sheetViews>
  <sheetFormatPr baseColWidth="10" defaultColWidth="11.125" defaultRowHeight="15.75"/>
  <cols>
    <col min="1" max="1" width="19.625" bestFit="1" customWidth="1"/>
    <col min="3" max="3" width="36.625" customWidth="1"/>
  </cols>
  <sheetData>
    <row r="1" spans="1:3">
      <c r="A1" t="s">
        <v>66</v>
      </c>
      <c r="B1" t="s">
        <v>67</v>
      </c>
      <c r="C1" t="s">
        <v>15</v>
      </c>
    </row>
    <row r="2" spans="1:3">
      <c r="A2" t="s">
        <v>68</v>
      </c>
      <c r="B2" t="s">
        <v>69</v>
      </c>
      <c r="C2" t="s">
        <v>73</v>
      </c>
    </row>
    <row r="3" spans="1:3">
      <c r="A3" t="s">
        <v>71</v>
      </c>
      <c r="B3" t="s">
        <v>81</v>
      </c>
      <c r="C3" t="s">
        <v>82</v>
      </c>
    </row>
    <row r="4" spans="1:3">
      <c r="A4" t="s">
        <v>75</v>
      </c>
      <c r="B4" t="s">
        <v>77</v>
      </c>
    </row>
    <row r="5" spans="1:3">
      <c r="A5" t="s">
        <v>76</v>
      </c>
      <c r="B5" t="s">
        <v>78</v>
      </c>
    </row>
    <row r="6" spans="1:3">
      <c r="A6" t="s">
        <v>91</v>
      </c>
      <c r="B6" t="s">
        <v>92</v>
      </c>
    </row>
    <row r="7" spans="1:3">
      <c r="A7" t="s">
        <v>93</v>
      </c>
      <c r="B7" t="s">
        <v>59</v>
      </c>
    </row>
    <row r="8" spans="1:3">
      <c r="A8" t="s">
        <v>95</v>
      </c>
      <c r="B8" t="s">
        <v>97</v>
      </c>
      <c r="C8" t="s">
        <v>96</v>
      </c>
    </row>
    <row r="9" spans="1:3">
      <c r="A9" t="s">
        <v>99</v>
      </c>
      <c r="B9" t="s">
        <v>100</v>
      </c>
      <c r="C9" t="s">
        <v>101</v>
      </c>
    </row>
    <row r="10" spans="1:3">
      <c r="A10" t="s">
        <v>191</v>
      </c>
      <c r="B10" s="57">
        <v>0.3</v>
      </c>
      <c r="C10" t="s">
        <v>190</v>
      </c>
    </row>
  </sheetData>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sheetPr codeName="Sheet3" enableFormatConditionsCalculation="0"/>
  <dimension ref="A1:I38"/>
  <sheetViews>
    <sheetView tabSelected="1" topLeftCell="A28" workbookViewId="0">
      <selection activeCell="D29" sqref="D29"/>
    </sheetView>
  </sheetViews>
  <sheetFormatPr baseColWidth="10" defaultColWidth="8.875" defaultRowHeight="15.75"/>
  <cols>
    <col min="1" max="1" width="18.875" customWidth="1"/>
    <col min="2" max="2" width="36.5" customWidth="1"/>
    <col min="3" max="3" width="52.5" customWidth="1"/>
    <col min="4" max="4" width="47.5" customWidth="1"/>
    <col min="5" max="5" width="31.875" customWidth="1"/>
  </cols>
  <sheetData>
    <row r="1" spans="1:9" ht="21">
      <c r="A1" s="86" t="s">
        <v>23</v>
      </c>
      <c r="B1" s="87"/>
      <c r="C1" s="87"/>
      <c r="D1" s="87"/>
      <c r="E1" s="88"/>
      <c r="F1" s="10"/>
      <c r="G1" s="10"/>
      <c r="H1" s="10"/>
      <c r="I1" s="10"/>
    </row>
    <row r="2" spans="1:9" ht="16.5" thickBot="1">
      <c r="A2" s="49" t="s">
        <v>20</v>
      </c>
      <c r="B2" s="50" t="s">
        <v>14</v>
      </c>
      <c r="C2" s="51" t="s">
        <v>21</v>
      </c>
      <c r="D2" s="50" t="s">
        <v>178</v>
      </c>
      <c r="E2" s="52" t="s">
        <v>22</v>
      </c>
    </row>
    <row r="3" spans="1:9" ht="48" thickBot="1">
      <c r="A3" s="89" t="s">
        <v>107</v>
      </c>
      <c r="B3" s="91" t="s">
        <v>26</v>
      </c>
      <c r="C3" s="20" t="s">
        <v>201</v>
      </c>
      <c r="D3" s="21" t="s">
        <v>215</v>
      </c>
      <c r="E3" s="53" t="s">
        <v>214</v>
      </c>
    </row>
    <row r="4" spans="1:9" ht="63.75" thickBot="1">
      <c r="A4" s="90"/>
      <c r="B4" s="92"/>
      <c r="C4" s="67" t="s">
        <v>213</v>
      </c>
      <c r="D4" s="23" t="s">
        <v>216</v>
      </c>
      <c r="E4" s="53" t="s">
        <v>214</v>
      </c>
    </row>
    <row r="5" spans="1:9" ht="48" thickBot="1">
      <c r="A5" s="90"/>
      <c r="B5" s="92"/>
      <c r="C5" s="24" t="s">
        <v>212</v>
      </c>
      <c r="D5" s="25" t="s">
        <v>218</v>
      </c>
      <c r="E5" s="53" t="s">
        <v>214</v>
      </c>
    </row>
    <row r="6" spans="1:9" ht="48" thickBot="1">
      <c r="A6" s="90"/>
      <c r="B6" s="92"/>
      <c r="C6" s="24" t="s">
        <v>108</v>
      </c>
      <c r="D6" s="25" t="s">
        <v>219</v>
      </c>
      <c r="E6" s="53" t="s">
        <v>214</v>
      </c>
    </row>
    <row r="7" spans="1:9" ht="63.75" thickBot="1">
      <c r="A7" s="90"/>
      <c r="B7" s="92"/>
      <c r="C7" s="24" t="s">
        <v>109</v>
      </c>
      <c r="D7" s="25" t="s">
        <v>220</v>
      </c>
      <c r="E7" s="53" t="s">
        <v>214</v>
      </c>
    </row>
    <row r="8" spans="1:9" ht="63.75" thickBot="1">
      <c r="A8" s="93" t="s">
        <v>110</v>
      </c>
      <c r="B8" s="96" t="s">
        <v>27</v>
      </c>
      <c r="C8" s="26" t="s">
        <v>111</v>
      </c>
      <c r="D8" s="56" t="s">
        <v>202</v>
      </c>
      <c r="E8" s="56" t="s">
        <v>118</v>
      </c>
    </row>
    <row r="9" spans="1:9" ht="63.75" thickBot="1">
      <c r="A9" s="94"/>
      <c r="B9" s="97"/>
      <c r="C9" s="27" t="s">
        <v>112</v>
      </c>
      <c r="D9" s="56" t="s">
        <v>203</v>
      </c>
      <c r="E9" s="56" t="s">
        <v>118</v>
      </c>
    </row>
    <row r="10" spans="1:9" ht="63.75" thickBot="1">
      <c r="A10" s="94"/>
      <c r="B10" s="97"/>
      <c r="C10" s="27" t="s">
        <v>113</v>
      </c>
      <c r="D10" s="56" t="s">
        <v>195</v>
      </c>
      <c r="E10" s="56" t="s">
        <v>118</v>
      </c>
    </row>
    <row r="11" spans="1:9" ht="63.75" thickBot="1">
      <c r="A11" s="94"/>
      <c r="B11" s="97"/>
      <c r="C11" s="27" t="s">
        <v>114</v>
      </c>
      <c r="D11" s="56" t="s">
        <v>204</v>
      </c>
      <c r="E11" s="56" t="s">
        <v>118</v>
      </c>
    </row>
    <row r="12" spans="1:9" ht="63.75" thickBot="1">
      <c r="A12" s="95"/>
      <c r="B12" s="98"/>
      <c r="C12" s="29" t="s">
        <v>115</v>
      </c>
      <c r="D12" s="62" t="s">
        <v>221</v>
      </c>
      <c r="E12" s="56" t="s">
        <v>118</v>
      </c>
    </row>
    <row r="13" spans="1:9" ht="111" thickBot="1">
      <c r="A13" s="89" t="s">
        <v>116</v>
      </c>
      <c r="B13" s="91" t="s">
        <v>28</v>
      </c>
      <c r="C13" s="20" t="s">
        <v>117</v>
      </c>
      <c r="D13" s="21" t="s">
        <v>222</v>
      </c>
      <c r="E13" s="21" t="s">
        <v>118</v>
      </c>
    </row>
    <row r="14" spans="1:9" ht="126.75" thickBot="1">
      <c r="A14" s="90"/>
      <c r="B14" s="92"/>
      <c r="C14" s="22" t="s">
        <v>119</v>
      </c>
      <c r="D14" s="23" t="s">
        <v>223</v>
      </c>
      <c r="E14" s="21" t="s">
        <v>118</v>
      </c>
    </row>
    <row r="15" spans="1:9" ht="95.25" thickBot="1">
      <c r="A15" s="90"/>
      <c r="B15" s="92"/>
      <c r="C15" s="22" t="s">
        <v>120</v>
      </c>
      <c r="D15" s="23" t="s">
        <v>224</v>
      </c>
      <c r="E15" s="21" t="s">
        <v>121</v>
      </c>
    </row>
    <row r="16" spans="1:9" ht="63.75" thickBot="1">
      <c r="A16" s="93" t="s">
        <v>122</v>
      </c>
      <c r="B16" s="96" t="s">
        <v>29</v>
      </c>
      <c r="C16" s="26" t="s">
        <v>123</v>
      </c>
      <c r="D16" s="56" t="s">
        <v>225</v>
      </c>
      <c r="E16" s="26" t="s">
        <v>124</v>
      </c>
    </row>
    <row r="17" spans="1:5" ht="63.75" thickBot="1">
      <c r="A17" s="94"/>
      <c r="B17" s="97"/>
      <c r="C17" s="30" t="s">
        <v>125</v>
      </c>
      <c r="D17" s="43" t="s">
        <v>226</v>
      </c>
      <c r="E17" s="28" t="s">
        <v>124</v>
      </c>
    </row>
    <row r="18" spans="1:5" ht="47.25">
      <c r="A18" s="99" t="s">
        <v>126</v>
      </c>
      <c r="B18" s="101" t="s">
        <v>32</v>
      </c>
      <c r="C18" s="31" t="s">
        <v>127</v>
      </c>
      <c r="D18" s="20" t="s">
        <v>128</v>
      </c>
      <c r="E18" s="21" t="s">
        <v>129</v>
      </c>
    </row>
    <row r="19" spans="1:5" ht="47.25">
      <c r="A19" s="90"/>
      <c r="B19" s="102"/>
      <c r="C19" s="32" t="s">
        <v>130</v>
      </c>
      <c r="D19" s="33" t="s">
        <v>131</v>
      </c>
      <c r="E19" s="23" t="s">
        <v>132</v>
      </c>
    </row>
    <row r="20" spans="1:5" ht="63">
      <c r="A20" s="90"/>
      <c r="B20" s="102"/>
      <c r="C20" s="32" t="s">
        <v>133</v>
      </c>
      <c r="D20" s="34" t="s">
        <v>196</v>
      </c>
      <c r="E20" s="23" t="s">
        <v>129</v>
      </c>
    </row>
    <row r="21" spans="1:5" ht="78.75">
      <c r="A21" s="90"/>
      <c r="B21" s="102"/>
      <c r="C21" s="32" t="s">
        <v>134</v>
      </c>
      <c r="D21" s="33" t="s">
        <v>205</v>
      </c>
      <c r="E21" s="23" t="s">
        <v>132</v>
      </c>
    </row>
    <row r="22" spans="1:5" ht="31.5">
      <c r="A22" s="90"/>
      <c r="B22" s="102"/>
      <c r="C22" s="32" t="s">
        <v>135</v>
      </c>
      <c r="D22" s="33" t="s">
        <v>206</v>
      </c>
      <c r="E22" s="23" t="s">
        <v>227</v>
      </c>
    </row>
    <row r="23" spans="1:5" ht="79.5" thickBot="1">
      <c r="A23" s="100"/>
      <c r="B23" s="103"/>
      <c r="C23" s="35" t="s">
        <v>136</v>
      </c>
      <c r="D23" s="63" t="s">
        <v>207</v>
      </c>
      <c r="E23" s="23" t="s">
        <v>227</v>
      </c>
    </row>
    <row r="24" spans="1:5" ht="63">
      <c r="A24" s="93" t="s">
        <v>137</v>
      </c>
      <c r="B24" s="96" t="s">
        <v>33</v>
      </c>
      <c r="C24" s="36" t="s">
        <v>138</v>
      </c>
      <c r="D24" s="43" t="s">
        <v>228</v>
      </c>
      <c r="E24" s="26" t="s">
        <v>139</v>
      </c>
    </row>
    <row r="25" spans="1:5" ht="63.75" thickBot="1">
      <c r="A25" s="94"/>
      <c r="B25" s="97"/>
      <c r="C25" s="37" t="s">
        <v>140</v>
      </c>
      <c r="D25" s="64" t="s">
        <v>229</v>
      </c>
      <c r="E25" s="28" t="s">
        <v>141</v>
      </c>
    </row>
    <row r="26" spans="1:5" ht="94.5">
      <c r="A26" s="99" t="s">
        <v>142</v>
      </c>
      <c r="B26" s="101" t="s">
        <v>34</v>
      </c>
      <c r="C26" s="31" t="s">
        <v>143</v>
      </c>
      <c r="D26" s="20" t="s">
        <v>208</v>
      </c>
      <c r="E26" s="21" t="s">
        <v>144</v>
      </c>
    </row>
    <row r="27" spans="1:5" ht="51" thickBot="1">
      <c r="A27" s="100"/>
      <c r="B27" s="103"/>
      <c r="C27" s="38" t="s">
        <v>145</v>
      </c>
      <c r="D27" s="39" t="s">
        <v>209</v>
      </c>
      <c r="E27" s="40" t="s">
        <v>146</v>
      </c>
    </row>
    <row r="28" spans="1:5" ht="126.75" thickBot="1">
      <c r="A28" s="68" t="s">
        <v>147</v>
      </c>
      <c r="B28" s="41" t="s">
        <v>36</v>
      </c>
      <c r="C28" s="42" t="s">
        <v>148</v>
      </c>
      <c r="D28" s="43" t="s">
        <v>210</v>
      </c>
      <c r="E28" s="43" t="s">
        <v>211</v>
      </c>
    </row>
    <row r="29" spans="1:5" ht="47.25">
      <c r="A29" s="99" t="s">
        <v>149</v>
      </c>
      <c r="B29" s="101" t="s">
        <v>39</v>
      </c>
      <c r="C29" s="31" t="s">
        <v>150</v>
      </c>
      <c r="D29" s="20" t="s">
        <v>151</v>
      </c>
      <c r="E29" s="21" t="s">
        <v>152</v>
      </c>
    </row>
    <row r="30" spans="1:5" ht="48" thickBot="1">
      <c r="A30" s="90"/>
      <c r="B30" s="102"/>
      <c r="C30" s="38" t="s">
        <v>153</v>
      </c>
      <c r="D30" s="39" t="s">
        <v>154</v>
      </c>
      <c r="E30" s="40" t="s">
        <v>155</v>
      </c>
    </row>
    <row r="31" spans="1:5" ht="48" thickBot="1">
      <c r="A31" s="100"/>
      <c r="B31" s="103"/>
      <c r="C31" s="38" t="s">
        <v>251</v>
      </c>
      <c r="D31" s="39" t="s">
        <v>252</v>
      </c>
      <c r="E31" s="40" t="s">
        <v>253</v>
      </c>
    </row>
    <row r="32" spans="1:5" ht="48" thickBot="1">
      <c r="A32" s="69" t="s">
        <v>156</v>
      </c>
      <c r="B32" s="44" t="s">
        <v>40</v>
      </c>
      <c r="C32" s="45" t="s">
        <v>157</v>
      </c>
      <c r="D32" s="46" t="s">
        <v>192</v>
      </c>
      <c r="E32" s="47" t="s">
        <v>158</v>
      </c>
    </row>
    <row r="33" spans="1:5" ht="16.5" thickBot="1">
      <c r="A33" s="70" t="s">
        <v>159</v>
      </c>
      <c r="B33" s="60" t="s">
        <v>41</v>
      </c>
      <c r="C33" s="61" t="s">
        <v>160</v>
      </c>
      <c r="D33" s="59"/>
      <c r="E33" s="48"/>
    </row>
    <row r="34" spans="1:5" ht="111" thickBot="1">
      <c r="A34" s="69" t="s">
        <v>161</v>
      </c>
      <c r="B34" s="44" t="s">
        <v>43</v>
      </c>
      <c r="C34" s="45" t="s">
        <v>162</v>
      </c>
      <c r="D34" s="46" t="s">
        <v>193</v>
      </c>
      <c r="E34" s="46" t="s">
        <v>163</v>
      </c>
    </row>
    <row r="35" spans="1:5" ht="111" thickBot="1">
      <c r="A35" s="71" t="s">
        <v>164</v>
      </c>
      <c r="B35" s="60" t="s">
        <v>47</v>
      </c>
      <c r="C35" s="61" t="s">
        <v>165</v>
      </c>
      <c r="D35" s="59" t="s">
        <v>166</v>
      </c>
      <c r="E35" s="58" t="s">
        <v>167</v>
      </c>
    </row>
    <row r="36" spans="1:5" ht="63.75" thickBot="1">
      <c r="A36" s="72" t="s">
        <v>168</v>
      </c>
      <c r="B36" s="44" t="s">
        <v>70</v>
      </c>
      <c r="C36" s="45" t="s">
        <v>169</v>
      </c>
      <c r="D36" s="46" t="s">
        <v>194</v>
      </c>
      <c r="E36" s="47" t="s">
        <v>170</v>
      </c>
    </row>
    <row r="37" spans="1:5" ht="63.75" thickBot="1">
      <c r="A37" s="99" t="s">
        <v>171</v>
      </c>
      <c r="B37" s="101" t="s">
        <v>72</v>
      </c>
      <c r="C37" s="31" t="s">
        <v>172</v>
      </c>
      <c r="D37" s="20" t="s">
        <v>173</v>
      </c>
      <c r="E37" s="21" t="s">
        <v>174</v>
      </c>
    </row>
    <row r="38" spans="1:5" ht="79.5" thickBot="1">
      <c r="A38" s="100"/>
      <c r="B38" s="103"/>
      <c r="C38" s="38" t="s">
        <v>175</v>
      </c>
      <c r="D38" s="39" t="s">
        <v>176</v>
      </c>
      <c r="E38" s="21" t="s">
        <v>177</v>
      </c>
    </row>
  </sheetData>
  <mergeCells count="19">
    <mergeCell ref="A37:A38"/>
    <mergeCell ref="B37:B38"/>
    <mergeCell ref="A24:A25"/>
    <mergeCell ref="B24:B25"/>
    <mergeCell ref="A26:A27"/>
    <mergeCell ref="B26:B27"/>
    <mergeCell ref="A29:A31"/>
    <mergeCell ref="B29:B31"/>
    <mergeCell ref="A13:A15"/>
    <mergeCell ref="B13:B15"/>
    <mergeCell ref="A16:A17"/>
    <mergeCell ref="B16:B17"/>
    <mergeCell ref="A18:A23"/>
    <mergeCell ref="B18:B23"/>
    <mergeCell ref="A1:E1"/>
    <mergeCell ref="A3:A7"/>
    <mergeCell ref="B3:B7"/>
    <mergeCell ref="A8:A12"/>
    <mergeCell ref="B8:B12"/>
  </mergeCells>
  <hyperlinks>
    <hyperlink ref="A3:A7" location="Requirements!A2" display="T-FUNC-001"/>
    <hyperlink ref="A8:A12" location="Requirements!A3" display="T-FUNC-002"/>
    <hyperlink ref="A13:A15" location="Requirements!A4" display="T-FUNC-003"/>
    <hyperlink ref="A16:A17" location="Requirements!A5" display="T-FUNC-004"/>
    <hyperlink ref="A18:A23" location="Requirements!A8" display="T-FUNC-005"/>
    <hyperlink ref="A24:A25" location="Requirements!A9" display="T-FUNC-006"/>
    <hyperlink ref="A26:A27" location="Requirements!A10" display="T-FUNC-007"/>
    <hyperlink ref="A28" location="Requirements!A12" display="T-FUNC-008"/>
    <hyperlink ref="A29:A31" location="Requirements!A16" display="T-FUNC-009"/>
    <hyperlink ref="A32" location="Requirements!A17" display="T-FUNC-010"/>
    <hyperlink ref="A33" location="Requirements!A18" display="T-FUNC-011"/>
    <hyperlink ref="A34" location="Requirements!A20" display="T-FUNC-012"/>
    <hyperlink ref="A35" location="Requirements!A24" display="T-FUNC-013"/>
    <hyperlink ref="A36" location="Requirements!A25" display="T-FUNC-014"/>
    <hyperlink ref="A37:A38" location="Requirements!A26" display="T-FUNC-015"/>
  </hyperlinks>
  <pageMargins left="0.7" right="0.7" top="0.75" bottom="0.75" header="0.3" footer="0.3"/>
  <headerFooter alignWithMargins="0"/>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dimension ref="A3:D10"/>
  <sheetViews>
    <sheetView workbookViewId="0">
      <selection activeCell="B9" sqref="B9:B10"/>
    </sheetView>
  </sheetViews>
  <sheetFormatPr baseColWidth="10" defaultColWidth="8.875" defaultRowHeight="15.75"/>
  <cols>
    <col min="3" max="3" width="23.875" customWidth="1"/>
    <col min="4" max="4" width="44.625" customWidth="1"/>
  </cols>
  <sheetData>
    <row r="3" spans="1:4">
      <c r="B3" t="s">
        <v>179</v>
      </c>
      <c r="C3" t="s">
        <v>180</v>
      </c>
      <c r="D3" t="s">
        <v>15</v>
      </c>
    </row>
    <row r="4" spans="1:4">
      <c r="B4" s="11">
        <v>1</v>
      </c>
      <c r="C4" s="54" t="s">
        <v>185</v>
      </c>
      <c r="D4" s="55" t="s">
        <v>186</v>
      </c>
    </row>
    <row r="5" spans="1:4">
      <c r="B5" s="11">
        <v>2</v>
      </c>
      <c r="C5" s="54" t="s">
        <v>187</v>
      </c>
      <c r="D5" s="55" t="s">
        <v>188</v>
      </c>
    </row>
    <row r="6" spans="1:4">
      <c r="B6" s="11">
        <v>3</v>
      </c>
      <c r="C6" s="54" t="s">
        <v>197</v>
      </c>
      <c r="D6" s="55" t="s">
        <v>198</v>
      </c>
    </row>
    <row r="7" spans="1:4" ht="47.25">
      <c r="B7" s="11">
        <v>4</v>
      </c>
      <c r="C7" s="54" t="s">
        <v>183</v>
      </c>
      <c r="D7" s="55" t="s">
        <v>184</v>
      </c>
    </row>
    <row r="8" spans="1:4">
      <c r="B8" s="11">
        <v>5</v>
      </c>
      <c r="C8" s="54" t="s">
        <v>189</v>
      </c>
      <c r="D8" s="55" t="s">
        <v>190</v>
      </c>
    </row>
    <row r="9" spans="1:4">
      <c r="A9" s="65"/>
      <c r="B9" s="11">
        <v>6</v>
      </c>
      <c r="C9" s="54" t="s">
        <v>181</v>
      </c>
      <c r="D9" s="55" t="s">
        <v>182</v>
      </c>
    </row>
    <row r="10" spans="1:4">
      <c r="B10" s="11">
        <v>7</v>
      </c>
      <c r="C10" s="54" t="s">
        <v>230</v>
      </c>
      <c r="D10" s="55" t="s">
        <v>231</v>
      </c>
    </row>
  </sheetData>
  <pageMargins left="0.7" right="0.7" top="0.75" bottom="0.75" header="0.3" footer="0.3"/>
  <tableParts count="1">
    <tablePart r:id="rId1"/>
  </tableParts>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6</vt:i4>
      </vt:variant>
    </vt:vector>
  </HeadingPairs>
  <TitlesOfParts>
    <vt:vector size="6" baseType="lpstr">
      <vt:lpstr>Cover Sheet</vt:lpstr>
      <vt:lpstr>Requirements</vt:lpstr>
      <vt:lpstr>Architecture</vt:lpstr>
      <vt:lpstr>Parameters</vt:lpstr>
      <vt:lpstr>Test Spec</vt:lpstr>
      <vt:lpstr>Glossary</vt:lpstr>
    </vt:vector>
  </TitlesOfParts>
  <Company>HS BREMERHAVEN</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Karan Verma</dc:creator>
  <cp:lastModifiedBy>Hannes</cp:lastModifiedBy>
  <dcterms:created xsi:type="dcterms:W3CDTF">2016-10-10T10:45:47Z</dcterms:created>
  <dcterms:modified xsi:type="dcterms:W3CDTF">2019-01-25T07:48:55Z</dcterms:modified>
</cp:coreProperties>
</file>