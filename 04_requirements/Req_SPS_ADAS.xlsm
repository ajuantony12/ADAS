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D:\workspace\ADAS\04_requirements\"/>
    </mc:Choice>
  </mc:AlternateContent>
  <xr:revisionPtr revIDLastSave="0" documentId="13_ncr:1_{DD21B97B-A10A-4DF0-A7E5-02266EE14BB2}" xr6:coauthVersionLast="38" xr6:coauthVersionMax="38" xr10:uidLastSave="{00000000-0000-0000-0000-000000000000}"/>
  <bookViews>
    <workbookView xWindow="0" yWindow="456" windowWidth="31356" windowHeight="19656" tabRatio="500" xr2:uid="{00000000-000D-0000-FFFF-FFFF00000000}"/>
  </bookViews>
  <sheets>
    <sheet name="Cover Sheet" sheetId="4" r:id="rId1"/>
    <sheet name="Requirements" sheetId="2" r:id="rId2"/>
    <sheet name="Architecture" sheetId="10" r:id="rId3"/>
    <sheet name="Parameters" sheetId="9" r:id="rId4"/>
    <sheet name="Test Spec" sheetId="6" r:id="rId5"/>
    <sheet name="Glossary" sheetId="11" r:id="rId6"/>
  </sheets>
  <functionGroups builtInGroupCount="19"/>
  <definedNames>
    <definedName name="_xlnm._FilterDatabase" localSheetId="1" hidden="1">Requirements!$A$1:$M$29</definedName>
    <definedName name="Simulink_requirement_item_1">#REF!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 l="1"/>
  <c r="L4" i="2"/>
  <c r="L5" i="2"/>
  <c r="L6" i="2"/>
  <c r="L7" i="2"/>
  <c r="L8" i="2"/>
  <c r="L9" i="2"/>
  <c r="L10" i="2"/>
  <c r="L11" i="2"/>
  <c r="L12" i="2"/>
  <c r="L13" i="2"/>
  <c r="L14" i="2"/>
  <c r="L15" i="2"/>
  <c r="L16" i="2"/>
  <c r="L17" i="2"/>
  <c r="L18" i="2"/>
  <c r="L19" i="2"/>
  <c r="L20" i="2"/>
  <c r="L21" i="2"/>
  <c r="L22" i="2"/>
  <c r="L23" i="2"/>
  <c r="L24" i="2"/>
  <c r="L25" i="2"/>
  <c r="L26" i="2"/>
  <c r="L27" i="2"/>
  <c r="L28" i="2"/>
  <c r="L29" i="2"/>
  <c r="L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Aju Jose</author>
  </authors>
  <commentList>
    <comment ref="A32" authorId="0" shapeId="0" xr:uid="{C8FC3B59-4505-4F5E-99CC-43018A99295A}">
      <text>
        <r>
          <rPr>
            <b/>
            <sz val="9"/>
            <color indexed="81"/>
            <rFont val="Tahoma"/>
            <charset val="1"/>
          </rPr>
          <t>Aju Jose:</t>
        </r>
        <r>
          <rPr>
            <sz val="9"/>
            <color indexed="81"/>
            <rFont val="Tahoma"/>
            <charset val="1"/>
          </rPr>
          <t xml:space="preserve">
testing method not finalised</t>
        </r>
      </text>
    </comment>
    <comment ref="A35" authorId="0" shapeId="0" xr:uid="{3399A9F7-BE53-4564-A109-6872D54A546A}">
      <text>
        <r>
          <rPr>
            <b/>
            <sz val="9"/>
            <color indexed="81"/>
            <rFont val="Tahoma"/>
            <charset val="1"/>
          </rPr>
          <t>Aju Jose:</t>
        </r>
        <r>
          <rPr>
            <sz val="9"/>
            <color indexed="81"/>
            <rFont val="Tahoma"/>
            <charset val="1"/>
          </rPr>
          <t xml:space="preserve">
testing method not finalised</t>
        </r>
      </text>
    </comment>
  </commentList>
</comments>
</file>

<file path=xl/sharedStrings.xml><?xml version="1.0" encoding="utf-8"?>
<sst xmlns="http://schemas.openxmlformats.org/spreadsheetml/2006/main" count="332" uniqueCount="252">
  <si>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</si>
  <si>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</si>
  <si>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</si>
  <si>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</si>
  <si>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</si>
  <si>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</si>
  <si>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</si>
  <si>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</si>
  <si>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</si>
  <si>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</si>
  <si>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</si>
  <si>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</si>
  <si>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</si>
  <si>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</si>
  <si>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</si>
  <si>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</si>
  <si>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</si>
  <si>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</si>
  <si>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</si>
  <si>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</si>
  <si>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</si>
  <si>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</si>
  <si>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</si>
  <si>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</si>
  <si>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</si>
  <si>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</si>
  <si>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</si>
  <si>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</si>
  <si>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</si>
  <si>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</si>
  <si>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</si>
  <si>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</si>
  <si>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</si>
  <si>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</si>
  <si>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</si>
  <si>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</si>
  <si>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</si>
  <si>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</si>
  <si>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</si>
  <si>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</si>
  <si>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</si>
  <si>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</si>
  <si>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</si>
  <si>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</si>
  <si>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</si>
  <si>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</si>
  <si>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</si>
  <si>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</si>
  <si>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</si>
  <si>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</si>
  <si>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</si>
  <si>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</si>
  <si>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</si>
  <si>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turn the motor forward and backward</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</si>
  <si>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</si>
  <si>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</si>
  <si>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</si>
  <si>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</si>
  <si>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</si>
  <si>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</si>
  <si>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TBD</t>
  </si>
  <si>
    <t>Priority
1: low 3: high</t>
  </si>
  <si>
    <t>Team</t>
  </si>
  <si>
    <t>AV returns to charging point before it runs out of battery</t>
  </si>
  <si>
    <t>AV generates a virtual map of area to be cleaned</t>
  </si>
  <si>
    <t>AV remembers cleaned area and cleans uncleaned area in next operation</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</si>
  <si>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</si>
  <si>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</si>
  <si>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</si>
  <si>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</si>
  <si>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</si>
  <si>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</si>
  <si>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</si>
  <si>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</si>
  <si>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</si>
  <si>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</si>
  <si>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</si>
  <si>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</si>
  <si>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</si>
  <si>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</si>
  <si>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</si>
  <si>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</si>
  <si>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</si>
  <si>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</si>
  <si>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</si>
  <si>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</si>
  <si>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</si>
  <si>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</si>
  <si>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</si>
  <si>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</si>
  <si>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</si>
  <si>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</si>
  <si>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</si>
  <si>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</si>
  <si>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</si>
  <si>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</si>
  <si>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</si>
  <si>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</si>
  <si>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</si>
  <si>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</si>
  <si>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</si>
  <si>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</si>
  <si>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</si>
  <si>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</si>
  <si>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</si>
  <si>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System Architecture</t>
  </si>
  <si>
    <t>Added system architecture</t>
  </si>
  <si>
    <t>C. Jurczyk</t>
  </si>
  <si>
    <t>A. Jose</t>
  </si>
  <si>
    <t>T-FUNC-001</t>
  </si>
  <si>
    <r>
      <t xml:space="preserve">4) AV Navigation in  </t>
    </r>
    <r>
      <rPr>
        <b/>
        <i/>
        <sz val="12"/>
        <color indexed="8"/>
        <rFont val="Calibri"/>
        <family val="2"/>
      </rPr>
      <t>Test Area</t>
    </r>
    <r>
      <rPr>
        <b/>
        <sz val="12"/>
        <color indexed="8"/>
        <rFont val="Calibri"/>
        <family val="2"/>
      </rPr>
      <t xml:space="preserve"> .</t>
    </r>
  </si>
  <si>
    <r>
      <t xml:space="preserve">5) AV Navigation in </t>
    </r>
    <r>
      <rPr>
        <b/>
        <i/>
        <sz val="12"/>
        <color indexed="8"/>
        <rFont val="Calibri"/>
        <family val="2"/>
      </rPr>
      <t>Test Area</t>
    </r>
    <r>
      <rPr>
        <b/>
        <sz val="12"/>
        <color indexed="8"/>
        <rFont val="Calibri"/>
        <family val="2"/>
      </rPr>
      <t xml:space="preserve"> </t>
    </r>
    <r>
      <rPr>
        <sz val="12"/>
        <color theme="1"/>
        <rFont val="Calibri"/>
        <family val="2"/>
        <scheme val="minor"/>
      </rPr>
      <t xml:space="preserve"> 50% obstacles.</t>
    </r>
  </si>
  <si>
    <t>T-FUNC-002</t>
  </si>
  <si>
    <t>1) AV identifies and avoids rectangular/cube shaped obstacle.</t>
  </si>
  <si>
    <t>2) AV identifies and avoids Cylindrical obstacle</t>
  </si>
  <si>
    <t>3) AV identifies and avoids  obstacle with non-uniform height.
Example - cone, triangular prism.</t>
  </si>
  <si>
    <t xml:space="preserve">4) AV identifies and avoids amorphous obstacle. </t>
  </si>
  <si>
    <t>5)AV identifies obstacle at start location</t>
  </si>
  <si>
    <t>T-FUNC-003</t>
  </si>
  <si>
    <t>1) AV avoids obstacle which can move.</t>
  </si>
  <si>
    <t>AV must not touch or collide obstacles</t>
  </si>
  <si>
    <t>2) AV avoids multiple obstacle which can move.</t>
  </si>
  <si>
    <t>3) AV avoids moving obstacle at start location</t>
  </si>
  <si>
    <t>AV must not collide and must start operation after change in position of obstacle</t>
  </si>
  <si>
    <t>T-FUNC-004</t>
  </si>
  <si>
    <t>1) AV avoids "No go" area</t>
  </si>
  <si>
    <t>AV must not enter "no go" area.</t>
  </si>
  <si>
    <t>2)  AV avoids multiple "No go" area</t>
  </si>
  <si>
    <t>T-FUNC-005</t>
  </si>
  <si>
    <t>1) Slip test on start</t>
  </si>
  <si>
    <t xml:space="preserve">
1. Start AV.
2. Check if AV slips during start.</t>
  </si>
  <si>
    <t>AV must not slip on start</t>
  </si>
  <si>
    <t>2)  Slip test on stop</t>
  </si>
  <si>
    <t>1. Start AV.
2. Wait for AV to stop.
3. Check if AV slips on stop.</t>
  </si>
  <si>
    <t>AV must not slip on stop</t>
  </si>
  <si>
    <r>
      <t>3) Slip test on start low µ</t>
    </r>
    <r>
      <rPr>
        <sz val="8"/>
        <color indexed="8"/>
        <rFont val="Calibri"/>
        <family val="2"/>
      </rPr>
      <t>s</t>
    </r>
    <r>
      <rPr>
        <sz val="12"/>
        <color theme="1"/>
        <rFont val="Calibri"/>
        <family val="2"/>
        <scheme val="minor"/>
      </rPr>
      <t xml:space="preserve"> (e.g. Wet surface)</t>
    </r>
  </si>
  <si>
    <r>
      <t>4) Slip test on stop low µ</t>
    </r>
    <r>
      <rPr>
        <sz val="8"/>
        <color indexed="8"/>
        <rFont val="Calibri"/>
        <family val="2"/>
      </rPr>
      <t>s</t>
    </r>
    <r>
      <rPr>
        <sz val="12"/>
        <color theme="1"/>
        <rFont val="Calibri"/>
        <family val="2"/>
        <scheme val="minor"/>
      </rPr>
      <t xml:space="preserve"> (e.g. Wet surface)</t>
    </r>
  </si>
  <si>
    <r>
      <t>5) Navigation on low µ</t>
    </r>
    <r>
      <rPr>
        <sz val="8"/>
        <color indexed="8"/>
        <rFont val="Calibri"/>
        <family val="2"/>
      </rPr>
      <t>k</t>
    </r>
    <r>
      <rPr>
        <sz val="12"/>
        <color theme="1"/>
        <rFont val="Calibri"/>
        <family val="2"/>
        <scheme val="minor"/>
      </rPr>
      <t xml:space="preserve"> (e.g. Wet surface)</t>
    </r>
  </si>
  <si>
    <r>
      <t>6)  Navigating on area with different µ</t>
    </r>
    <r>
      <rPr>
        <sz val="8"/>
        <color indexed="8"/>
        <rFont val="Calibri"/>
        <family val="2"/>
      </rPr>
      <t xml:space="preserve">k </t>
    </r>
    <r>
      <rPr>
        <sz val="12"/>
        <color theme="1"/>
        <rFont val="Calibri"/>
        <family val="2"/>
        <scheme val="minor"/>
      </rPr>
      <t>.</t>
    </r>
  </si>
  <si>
    <t>T-FUNC-006</t>
  </si>
  <si>
    <t>1) AV small objects</t>
  </si>
  <si>
    <t>AV must not avoid the obstacle and must go over it.</t>
  </si>
  <si>
    <t>2)  AV object height boundary check</t>
  </si>
  <si>
    <t>AV must avoid obstacle</t>
  </si>
  <si>
    <t>T-FUNC-007</t>
  </si>
  <si>
    <t>1) AV should return before battery runs out</t>
  </si>
  <si>
    <t>AV must return on disconnection of battery</t>
  </si>
  <si>
    <t>2) AV start without enough charge</t>
  </si>
  <si>
    <t>AV must stay at start location</t>
  </si>
  <si>
    <t>T-FUNC-008</t>
  </si>
  <si>
    <t>1) AV multiple stop and go cycle</t>
  </si>
  <si>
    <t>T-FUNC-009</t>
  </si>
  <si>
    <t>1) AV drive forward</t>
  </si>
  <si>
    <t>1. Start AV
2. Drive forward
3. Stop AV</t>
  </si>
  <si>
    <t>AV must drive forward</t>
  </si>
  <si>
    <t>2) AV drive backward</t>
  </si>
  <si>
    <t>1. Start AV
2. Drive backward
3. Stop AV</t>
  </si>
  <si>
    <t>AV must drive backward</t>
  </si>
  <si>
    <t>T-FUNC-010</t>
  </si>
  <si>
    <t>1) AV drive with different speeds</t>
  </si>
  <si>
    <t>AV must drive with different speeds</t>
  </si>
  <si>
    <t>T-FUNC-011</t>
  </si>
  <si>
    <t>1) AV drive in a barn</t>
  </si>
  <si>
    <t>T-FUNC-012</t>
  </si>
  <si>
    <t>1) Test degree of the Laser</t>
  </si>
  <si>
    <t>Laser must have sweep angle of DET_ANG_LASER</t>
  </si>
  <si>
    <t>T-FUNC-013</t>
  </si>
  <si>
    <t>1) Connection test of the emergency button</t>
  </si>
  <si>
    <t>1. Connect the emergency button with the MCU
2. Check with a Software for the MCU if the MCU get a signal from the emergecy button
3. Push the emergency button
4. Check with a Software for the MCU if the signal changes
5. Repeat the process ten times</t>
  </si>
  <si>
    <t>The signal from the emergency button must always come through to the MCU</t>
  </si>
  <si>
    <t>T-FUNC-014</t>
  </si>
  <si>
    <t>1) Stop the AV with the emergency button while driving</t>
  </si>
  <si>
    <t>The AV must always stop in EMER_TIME or less</t>
  </si>
  <si>
    <t>T-FUNC-015</t>
  </si>
  <si>
    <t>1) Accelerate AV</t>
  </si>
  <si>
    <t>1. Mount external accelerometer on AV
2. Start AV
3. Observe the change in acceleration.
4. Repeat the process five times</t>
  </si>
  <si>
    <t>AV must have a linear acceleration</t>
  </si>
  <si>
    <t>2) Decelerate AV</t>
  </si>
  <si>
    <t>1. Mount external accelerometer on AV
2. Start AV
3. wait for AV to stop
3. Observe the change in decceleration during stop.
4. Repeat the process five times</t>
  </si>
  <si>
    <t>AV must have a linear Decceleration</t>
  </si>
  <si>
    <t>Steps</t>
  </si>
  <si>
    <t>no.</t>
  </si>
  <si>
    <t>item</t>
  </si>
  <si>
    <t>Test Area</t>
  </si>
  <si>
    <t xml:space="preserve">Test Region, Hochschule Bremerhaven, Z Block </t>
  </si>
  <si>
    <t>Free Area</t>
  </si>
  <si>
    <t>Test Region is divided into different blocks of resolution (1m x1m) and free are includes all the blocks which don't have obstacle or no go area.</t>
  </si>
  <si>
    <r>
      <rPr>
        <b/>
        <sz val="12"/>
        <color indexed="8"/>
        <rFont val="Calibri"/>
        <family val="2"/>
      </rPr>
      <t>µ</t>
    </r>
    <r>
      <rPr>
        <b/>
        <sz val="8"/>
        <color indexed="8"/>
        <rFont val="Calibri"/>
        <family val="2"/>
      </rPr>
      <t>k</t>
    </r>
  </si>
  <si>
    <t>Kinetic friction coefficient.</t>
  </si>
  <si>
    <t>µs</t>
  </si>
  <si>
    <t>Static friction coefficient.</t>
  </si>
  <si>
    <t>O_MINIMUM_CHARGE</t>
  </si>
  <si>
    <t>Minimum charge(%) to continue operation.</t>
  </si>
  <si>
    <t>O_MIN_CHRG</t>
  </si>
  <si>
    <t>1. Change V_MAX and flash new firmware. 
2.Start AV  
4. repeat 1-2 with different values</t>
  </si>
  <si>
    <t xml:space="preserve">1. Put an obstacle infront of AV at centre.
2. start AV 
3. Start moving obstacle to clockwise
3. Check angle at which AV start moving.
4. Repeat test 1-3 with anticlockwise motion of obstacle.
</t>
  </si>
  <si>
    <t xml:space="preserve">1.Start the AV
2. Drive forward with V_MAX  speed
3. Push the emergency button 
5.Repeat the process ten times </t>
  </si>
  <si>
    <r>
      <t>1. Place a  cone/triangular prism in test area</t>
    </r>
    <r>
      <rPr>
        <b/>
        <i/>
        <sz val="12"/>
        <color indexed="8"/>
        <rFont val="Calibri"/>
        <family val="2"/>
      </rPr>
      <t>.</t>
    </r>
    <r>
      <rPr>
        <sz val="12"/>
        <color theme="1"/>
        <rFont val="Calibri"/>
        <family val="2"/>
        <scheme val="minor"/>
      </rPr>
      <t xml:space="preserve">
2. Start AV
3. check the AV navigation</t>
    </r>
    <r>
      <rPr>
        <sz val="12"/>
        <color theme="1"/>
        <rFont val="Calibri"/>
        <family val="2"/>
        <scheme val="minor"/>
      </rPr>
      <t>.
4. repeat the test 5 times with different position</t>
    </r>
  </si>
  <si>
    <r>
      <t xml:space="preserve">
1. Start AV on low µ</t>
    </r>
    <r>
      <rPr>
        <sz val="8"/>
        <color indexed="8"/>
        <rFont val="Calibri"/>
        <family val="2"/>
      </rPr>
      <t>s</t>
    </r>
    <r>
      <rPr>
        <sz val="12"/>
        <color theme="1"/>
        <rFont val="Calibri"/>
        <family val="2"/>
        <scheme val="minor"/>
      </rPr>
      <t xml:space="preserve"> surface
2. Check if AV slips during start.
3. repeat the test 5 times.</t>
    </r>
  </si>
  <si>
    <t>AV</t>
  </si>
  <si>
    <t>Autonomous Vehicle</t>
  </si>
  <si>
    <t>Test plan Updated</t>
  </si>
  <si>
    <t>AV must drive along the boundary of area.</t>
  </si>
  <si>
    <t>1) AV drives in clear square/Rectangular shaped area</t>
  </si>
  <si>
    <r>
      <t>1. Place a rectangular prism or cube in test area</t>
    </r>
    <r>
      <rPr>
        <b/>
        <i/>
        <sz val="12"/>
        <color indexed="8"/>
        <rFont val="Calibri"/>
        <family val="2"/>
      </rPr>
      <t>.</t>
    </r>
    <r>
      <rPr>
        <sz val="12"/>
        <color theme="1"/>
        <rFont val="Calibri"/>
        <family val="2"/>
        <scheme val="minor"/>
      </rPr>
      <t xml:space="preserve">
2. Start AV
3. check the AV, if it drives around obstacle.
4. repeat the test 5 times with different position</t>
    </r>
  </si>
  <si>
    <r>
      <t>1. Place a  cylinder in test area</t>
    </r>
    <r>
      <rPr>
        <b/>
        <i/>
        <sz val="12"/>
        <color indexed="8"/>
        <rFont val="Calibri"/>
        <family val="2"/>
      </rPr>
      <t>.</t>
    </r>
    <r>
      <rPr>
        <sz val="12"/>
        <color theme="1"/>
        <rFont val="Calibri"/>
        <family val="2"/>
        <scheme val="minor"/>
      </rPr>
      <t xml:space="preserve">
2. Start AV
3. check the AV, if it drives around obstacle.
4. repeat the test 5 times with different position</t>
    </r>
  </si>
  <si>
    <r>
      <t>1. Place an amorphous object in test area</t>
    </r>
    <r>
      <rPr>
        <b/>
        <i/>
        <sz val="12"/>
        <color indexed="8"/>
        <rFont val="Calibri"/>
        <family val="2"/>
      </rPr>
      <t>.</t>
    </r>
    <r>
      <rPr>
        <sz val="12"/>
        <color theme="1"/>
        <rFont val="Calibri"/>
        <family val="2"/>
        <scheme val="minor"/>
      </rPr>
      <t xml:space="preserve">
2. Start AV
3. check the AV, if it drives around obstacle.
4. repeat the test 5 times with different position</t>
    </r>
  </si>
  <si>
    <t>1. Start AV on low µs surface
2. Wait for Start AV to finish drive around the given region and return to start
3. Check if AV slips on stop.
4. repeat the test 5 times</t>
  </si>
  <si>
    <t>1. Start AV and drives AV in low µk.
2. Check AV, if it slips during motion.</t>
  </si>
  <si>
    <r>
      <t>1. Define a test area and initialise the test area to have two different µ</t>
    </r>
    <r>
      <rPr>
        <sz val="8"/>
        <color indexed="8"/>
        <rFont val="Calibri"/>
        <family val="2"/>
      </rPr>
      <t>k.</t>
    </r>
    <r>
      <rPr>
        <sz val="12"/>
        <color theme="1"/>
        <rFont val="Calibri"/>
        <family val="2"/>
        <scheme val="minor"/>
      </rPr>
      <t xml:space="preserve">
2. Start AV.
3. Check AV, if it slips during motion.
4. repeat the test 5 times.</t>
    </r>
  </si>
  <si>
    <t>1. Charge both AV batteries above O_MIN_CHRG
2. Start AV.
3. change minimum charge parameter through UI
4. Check AV, if it drives around obstacle.
5. repeat the test 5 times increasing number of obstacle each time.</t>
  </si>
  <si>
    <r>
      <t>1. Charge both AV batteries less than O_MIN_CHRG
2. Start AV.
3. Check AV, if AV drives or not</t>
    </r>
    <r>
      <rPr>
        <sz val="14"/>
        <color indexed="8"/>
        <rFont val="Calibri"/>
        <family val="2"/>
      </rPr>
      <t>.</t>
    </r>
  </si>
  <si>
    <t>1. Charge one of AV battery less than O_MIN_CHRG and other to full
2. Start AV.
3. change minimum charge parameter through UI
4. wait till AV return to start.
5. change minimum charge parameter through UI
6. check AV, if it drives along the region's boundary.
7. repeat 3-6 multiple times.</t>
  </si>
  <si>
    <t>AV must complete the drive path, resuming from previous route.</t>
  </si>
  <si>
    <t>3) AV drives in square/Rectangular  multiple obstacles</t>
  </si>
  <si>
    <t>2)AV drives in square/Rectangular area with single obstacle along boundary.</t>
  </si>
  <si>
    <t>AV must drives drive along the boundary and return to start point.</t>
  </si>
  <si>
    <t>1. Clear area
2. Start AV
3. Check if AV drives along the boundary</t>
  </si>
  <si>
    <t>1. Place an obstacle along the boundary
2. Start AV
3. Check if AV drives along the boundary
4. repeat the test 5 times with different position</t>
  </si>
  <si>
    <t>AV indicates status with red, yellow and green light.
Red(Constant) - system fault
Yellow (Blinking) - Battery low. 
Yellow (Constant) - Waiting for user input.
Green(Constant) - Cleaning in progress.</t>
  </si>
  <si>
    <t>1. Place multiple obstacles along boundary
2. Start AV
3. Check if AV drives along the boundary</t>
  </si>
  <si>
    <t>1. Clear Test Area
2. Start AV
3. Check if AV drives along the boundary</t>
  </si>
  <si>
    <t>1. Place multiple obstacles along the boundary
2. Start AV
3. Check if AV drives along the boundary
4. repeat the test 5 times with different position</t>
  </si>
  <si>
    <t xml:space="preserve">1. Place the obstacle directly in front of AV
2. Start AV
3. check the AV motion.
</t>
  </si>
  <si>
    <r>
      <t>1. Place an obstacle in the region.</t>
    </r>
    <r>
      <rPr>
        <b/>
        <sz val="12"/>
        <color indexed="8"/>
        <rFont val="Calibri"/>
        <family val="2"/>
      </rPr>
      <t xml:space="preserve">
</t>
    </r>
    <r>
      <rPr>
        <sz val="12"/>
        <color theme="1"/>
        <rFont val="Calibri"/>
        <family val="2"/>
        <scheme val="minor"/>
      </rPr>
      <t>2. Start AV.
3. After 30 sec, move obstacle in the driving direction of AV
4. Check if AV drives around the new obstacle along the path.
5. repeat the test 5 time</t>
    </r>
  </si>
  <si>
    <r>
      <t>1. Place multiple obstacles.</t>
    </r>
    <r>
      <rPr>
        <b/>
        <sz val="12"/>
        <color indexed="8"/>
        <rFont val="Calibri"/>
        <family val="2"/>
      </rPr>
      <t xml:space="preserve">
</t>
    </r>
    <r>
      <rPr>
        <sz val="12"/>
        <color theme="1"/>
        <rFont val="Calibri"/>
        <family val="2"/>
        <scheme val="minor"/>
      </rPr>
      <t xml:space="preserve">2. Start AV.
3. After 10 sec, rearrange obstacle along the drive direction one by one
4. Check if AV drives around the new obstacle along the path.
5. repeat the test 5 times
</t>
    </r>
  </si>
  <si>
    <r>
      <t>1. Place obstacles directly in front of AV</t>
    </r>
    <r>
      <rPr>
        <b/>
        <sz val="12"/>
        <color indexed="8"/>
        <rFont val="Calibri"/>
        <family val="2"/>
      </rPr>
      <t xml:space="preserve">
</t>
    </r>
    <r>
      <rPr>
        <sz val="12"/>
        <color theme="1"/>
        <rFont val="Calibri"/>
        <family val="2"/>
        <scheme val="minor"/>
      </rPr>
      <t xml:space="preserve">2. Start AV.
3. After 10 sec, change obstacle position
4. Check AV motion before and after obstacle's location change
</t>
    </r>
  </si>
  <si>
    <t>1. Program "No go" Area
2. Start AV.
3. Check id AV enters or not in 'No go' area.
4 repeat the test 5 times with different positions.</t>
  </si>
  <si>
    <t>1. Program multiple "No go" Area of different size.
2. Start AV.
3. Check id AV enters or not in 'No go' area.
4 repeat the test 5 times with different positions.</t>
  </si>
  <si>
    <t>AV must not slip while driving</t>
  </si>
  <si>
    <t>1. Place obstacle which is smaller than O_HEIGHT
2. Start AV.
3. Check if AV drives over it or not.
4. repeat the test 5 times with different positions.</t>
  </si>
  <si>
    <t>1. Place obstacle which is smaller than O_HEIGHT
2. Start AV.
3. Check if AV drives around it.
4. repeat the test 5 times with different positions.</t>
  </si>
  <si>
    <t>UI</t>
  </si>
  <si>
    <t>User interface</t>
  </si>
  <si>
    <t>Risk</t>
  </si>
  <si>
    <t>Probability</t>
  </si>
  <si>
    <t>RiskValue</t>
  </si>
  <si>
    <t>Severity
1: low 3: high</t>
  </si>
  <si>
    <t>1. non uniform acceleration
2. wrong direction, due to differential slip
3. wear and tear
4. Physical damage</t>
  </si>
  <si>
    <t>no risk</t>
  </si>
  <si>
    <t>Cannot complete circumferential  run</t>
  </si>
  <si>
    <t>AV may not move or move in wrong direction</t>
  </si>
  <si>
    <t xml:space="preserve">Collision with boundary, may result in physical damage to AV and enviroment </t>
  </si>
  <si>
    <t xml:space="preserve">Physical damage to AV and enviroment </t>
  </si>
  <si>
    <t>1. AV may not achieve desired speed
2.More prone to slip, may result in unpredictable stop distance.</t>
  </si>
  <si>
    <t>1. physical damage to AV and enivroment
2. slip</t>
  </si>
  <si>
    <t>1. AV Obstacle detection failure.
2.Physical Damage to AV and enviroment.</t>
  </si>
  <si>
    <t>physical damage to AV and enivroment.</t>
  </si>
  <si>
    <t>1. Unusal vibrations, may lead to HW damage
2. slip
3. wear and tear
4. Physical damage</t>
  </si>
  <si>
    <t xml:space="preserve">Draft </t>
  </si>
  <si>
    <t>Risk and severity Updated</t>
  </si>
  <si>
    <t>A.Jose &amp; J.Muller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</si>
</sst>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2"/>
      <color theme="1"/>
      <name val="Calibri"/>
      <family val="2"/>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
      <sz val="12"/>
      <color theme="1"/>
      <name val="Calibri"/>
      <family val="2"/>
      <scheme val="minor"/>
    </font>
    <font>
      <b/>
      <sz val="16"/>
      <color theme="1"/>
      <name val="Calibri"/>
      <family val="2"/>
      <scheme val="minor"/>
    </font>
    <font>
      <b/>
      <sz val="12"/>
      <color indexed="8"/>
      <name val="Calibri"/>
      <family val="2"/>
    </font>
    <font>
      <b/>
      <i/>
      <sz val="12"/>
      <color indexed="8"/>
      <name val="Calibri"/>
      <family val="2"/>
    </font>
    <font>
      <sz val="8"/>
      <color indexed="8"/>
      <name val="Calibri"/>
      <family val="2"/>
    </font>
    <font>
      <sz val="14"/>
      <color indexed="8"/>
      <name val="Calibri"/>
      <family val="2"/>
    </font>
    <font>
      <b/>
      <sz val="8"/>
      <color indexed="8"/>
      <name val="Calibri"/>
      <family val="2"/>
    </font>
    <font>
      <sz val="9"/>
      <color indexed="81"/>
      <name val="Tahoma"/>
      <charset val="1"/>
    </font>
    <font>
      <b/>
      <sz val="9"/>
      <color indexed="81"/>
      <name val="Tahoma"/>
      <charset val="1"/>
    </font>
    <font>
      <u/>
      <sz val="12"/>
      <color theme="10"/>
      <name val="Calibri"/>
      <family val="2"/>
      <scheme val="minor"/>
    </font>
  </fonts>
  <fills count="10">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s>
  <borders count="19">
    <border>
      <left/>
      <right/>
      <top/>
      <bottom/>
      <diagonal/>
    </border>
    <border>
      <left/>
      <right/>
      <top/>
      <bottom style="thick">
        <color theme="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s>
  <cellStyleXfs count="4">
    <xf numFmtId="0" fontId="0" fillId="0" borderId="0"/>
    <xf numFmtId="0" fontId="3" fillId="0" borderId="0"/>
    <xf numFmtId="0" fontId="10" fillId="0" borderId="1" applyNumberFormat="0" applyFill="0" applyAlignment="0" applyProtection="0"/>
    <xf numFmtId="0" fontId="20" fillId="0" borderId="0" applyNumberFormat="0" applyFill="0" applyBorder="0" applyAlignment="0" applyProtection="0"/>
  </cellStyleXfs>
  <cellXfs count="104">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4" borderId="0" xfId="0" applyFont="1"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9" fillId="0" borderId="0" xfId="0" applyFont="1" applyBorder="1" applyAlignment="1">
      <alignment horizontal="center" vertical="center" wrapText="1"/>
    </xf>
    <xf numFmtId="0" fontId="10" fillId="0" borderId="1" xfId="2"/>
    <xf numFmtId="0" fontId="0" fillId="7" borderId="4" xfId="0" applyFill="1" applyBorder="1" applyAlignment="1">
      <alignment wrapText="1" shrinkToFit="1"/>
    </xf>
    <xf numFmtId="0" fontId="0" fillId="7" borderId="4" xfId="0" applyFill="1" applyBorder="1" applyAlignment="1">
      <alignment wrapText="1"/>
    </xf>
    <xf numFmtId="0" fontId="11" fillId="7" borderId="7" xfId="1" applyFont="1" applyFill="1" applyBorder="1" applyAlignment="1">
      <alignment wrapText="1"/>
    </xf>
    <xf numFmtId="0" fontId="0" fillId="7" borderId="7" xfId="0" applyFill="1" applyBorder="1" applyAlignment="1">
      <alignment wrapText="1"/>
    </xf>
    <xf numFmtId="0" fontId="0" fillId="7" borderId="8" xfId="0" applyFill="1" applyBorder="1"/>
    <xf numFmtId="0" fontId="0" fillId="7" borderId="8" xfId="0" applyFill="1" applyBorder="1" applyAlignment="1">
      <alignment wrapText="1"/>
    </xf>
    <xf numFmtId="0" fontId="11" fillId="8" borderId="4" xfId="1" applyFont="1" applyFill="1" applyBorder="1" applyAlignment="1">
      <alignment wrapText="1"/>
    </xf>
    <xf numFmtId="0" fontId="0" fillId="8" borderId="7" xfId="0" applyFill="1" applyBorder="1" applyAlignment="1">
      <alignment wrapText="1"/>
    </xf>
    <xf numFmtId="0" fontId="11" fillId="8" borderId="8" xfId="1" applyFont="1" applyFill="1" applyBorder="1" applyAlignment="1">
      <alignment wrapText="1"/>
    </xf>
    <xf numFmtId="0" fontId="0" fillId="8" borderId="0" xfId="0" applyFill="1" applyBorder="1" applyAlignment="1">
      <alignment wrapText="1"/>
    </xf>
    <xf numFmtId="0" fontId="0" fillId="8" borderId="8" xfId="0" applyFill="1" applyBorder="1" applyAlignment="1">
      <alignment wrapText="1"/>
    </xf>
    <xf numFmtId="0" fontId="0" fillId="7" borderId="4" xfId="0" applyFill="1" applyBorder="1" applyAlignment="1">
      <alignment vertical="center" wrapText="1"/>
    </xf>
    <xf numFmtId="0" fontId="0" fillId="7" borderId="7" xfId="0" applyFill="1" applyBorder="1" applyAlignment="1">
      <alignment vertical="center" wrapText="1"/>
    </xf>
    <xf numFmtId="0" fontId="0" fillId="7" borderId="7" xfId="0" applyFill="1" applyBorder="1" applyAlignment="1">
      <alignment wrapText="1" shrinkToFit="1"/>
    </xf>
    <xf numFmtId="0" fontId="0" fillId="7" borderId="12" xfId="0" applyFill="1" applyBorder="1" applyAlignment="1">
      <alignment wrapText="1" shrinkToFit="1"/>
    </xf>
    <xf numFmtId="0" fontId="0" fillId="7" borderId="10" xfId="0" applyFill="1" applyBorder="1" applyAlignment="1">
      <alignment vertical="center" wrapText="1"/>
    </xf>
    <xf numFmtId="0" fontId="11" fillId="8" borderId="4" xfId="1" applyFont="1" applyFill="1" applyBorder="1" applyAlignment="1">
      <alignment vertical="center" wrapText="1"/>
    </xf>
    <xf numFmtId="0" fontId="0" fillId="8" borderId="8" xfId="0" applyFill="1" applyBorder="1" applyAlignment="1">
      <alignment vertical="center" wrapText="1"/>
    </xf>
    <xf numFmtId="0" fontId="0" fillId="7" borderId="14" xfId="0" applyFill="1" applyBorder="1" applyAlignment="1">
      <alignment vertical="center" wrapText="1"/>
    </xf>
    <xf numFmtId="0" fontId="0" fillId="7" borderId="14" xfId="0" applyFill="1" applyBorder="1" applyAlignment="1">
      <alignment wrapText="1" shrinkToFit="1"/>
    </xf>
    <xf numFmtId="0" fontId="0" fillId="7" borderId="14" xfId="0" applyFill="1" applyBorder="1" applyAlignment="1">
      <alignment wrapText="1"/>
    </xf>
    <xf numFmtId="0" fontId="0" fillId="8" borderId="3" xfId="0" applyFill="1" applyBorder="1" applyAlignment="1">
      <alignment horizontal="left" vertical="center"/>
    </xf>
    <xf numFmtId="0" fontId="11" fillId="8" borderId="3" xfId="1" applyFont="1" applyFill="1" applyBorder="1" applyAlignment="1">
      <alignment vertical="center" wrapText="1"/>
    </xf>
    <xf numFmtId="0" fontId="0" fillId="8" borderId="3" xfId="1" applyFont="1" applyFill="1" applyBorder="1" applyAlignment="1">
      <alignment wrapText="1"/>
    </xf>
    <xf numFmtId="0" fontId="0" fillId="8" borderId="16" xfId="0" applyFill="1" applyBorder="1" applyAlignment="1">
      <alignment horizontal="left" vertical="center"/>
    </xf>
    <xf numFmtId="0" fontId="11" fillId="8" borderId="16" xfId="1" applyFont="1" applyFill="1" applyBorder="1" applyAlignment="1">
      <alignment vertical="center" wrapText="1"/>
    </xf>
    <xf numFmtId="0" fontId="0" fillId="8" borderId="16" xfId="1" applyFont="1" applyFill="1" applyBorder="1" applyAlignment="1">
      <alignment wrapText="1"/>
    </xf>
    <xf numFmtId="0" fontId="11" fillId="8" borderId="16" xfId="1" applyFont="1" applyFill="1" applyBorder="1" applyAlignment="1">
      <alignment wrapText="1"/>
    </xf>
    <xf numFmtId="0" fontId="0" fillId="7" borderId="4" xfId="0" applyFill="1" applyBorder="1" applyAlignment="1">
      <alignment horizontal="center" wrapText="1"/>
    </xf>
    <xf numFmtId="0" fontId="0" fillId="6" borderId="13" xfId="0" applyFill="1" applyBorder="1"/>
    <xf numFmtId="0" fontId="0" fillId="6" borderId="14" xfId="0" applyFill="1" applyBorder="1"/>
    <xf numFmtId="0" fontId="0" fillId="6" borderId="14" xfId="0" applyFill="1" applyBorder="1" applyAlignment="1">
      <alignment wrapText="1"/>
    </xf>
    <xf numFmtId="0" fontId="0" fillId="6" borderId="18" xfId="0" applyFill="1" applyBorder="1" applyAlignment="1"/>
    <xf numFmtId="0" fontId="0" fillId="7" borderId="17" xfId="0" applyFill="1" applyBorder="1" applyAlignment="1">
      <alignment wrapText="1"/>
    </xf>
    <xf numFmtId="0" fontId="2" fillId="0" borderId="0" xfId="0" applyFont="1" applyAlignment="1">
      <alignment wrapText="1"/>
    </xf>
    <xf numFmtId="0" fontId="0" fillId="0" borderId="0" xfId="0" applyAlignment="1">
      <alignment wrapText="1" shrinkToFit="1"/>
    </xf>
    <xf numFmtId="0" fontId="0" fillId="8" borderId="4" xfId="1" applyFont="1" applyFill="1" applyBorder="1" applyAlignment="1">
      <alignment wrapText="1"/>
    </xf>
    <xf numFmtId="9" fontId="0" fillId="0" borderId="0" xfId="0" applyNumberFormat="1" applyAlignment="1">
      <alignment horizontal="left" vertical="center"/>
    </xf>
    <xf numFmtId="0" fontId="0" fillId="7" borderId="4" xfId="0" applyFill="1" applyBorder="1" applyAlignment="1">
      <alignment horizontal="left" wrapText="1"/>
    </xf>
    <xf numFmtId="0" fontId="0" fillId="7" borderId="4" xfId="0" applyFill="1" applyBorder="1" applyAlignment="1">
      <alignment horizontal="left" wrapText="1" shrinkToFit="1"/>
    </xf>
    <xf numFmtId="0" fontId="0" fillId="7" borderId="4" xfId="0" applyFill="1" applyBorder="1" applyAlignment="1">
      <alignment horizontal="left" vertical="center"/>
    </xf>
    <xf numFmtId="0" fontId="0" fillId="7" borderId="4" xfId="0" applyFill="1" applyBorder="1" applyAlignment="1">
      <alignment horizontal="left" vertical="center" wrapText="1"/>
    </xf>
    <xf numFmtId="0" fontId="0" fillId="8" borderId="4" xfId="1" applyFont="1" applyFill="1" applyBorder="1" applyAlignment="1">
      <alignment wrapText="1" shrinkToFit="1"/>
    </xf>
    <xf numFmtId="0" fontId="0" fillId="7" borderId="14" xfId="1" applyFont="1" applyFill="1" applyBorder="1" applyAlignment="1">
      <alignment wrapText="1"/>
    </xf>
    <xf numFmtId="0" fontId="0" fillId="8" borderId="8" xfId="1" applyFont="1" applyFill="1" applyBorder="1" applyAlignment="1">
      <alignment wrapText="1"/>
    </xf>
    <xf numFmtId="0" fontId="2" fillId="0" borderId="0" xfId="0" applyFont="1"/>
    <xf numFmtId="0" fontId="20" fillId="0" borderId="0" xfId="3" applyBorder="1" applyAlignment="1">
      <alignment horizontal="center"/>
    </xf>
    <xf numFmtId="0" fontId="0" fillId="7" borderId="7" xfId="1" applyFont="1" applyFill="1" applyBorder="1" applyAlignment="1">
      <alignment wrapText="1"/>
    </xf>
    <xf numFmtId="0" fontId="20" fillId="8" borderId="2" xfId="3" applyFill="1" applyBorder="1" applyAlignment="1">
      <alignment horizontal="center" vertical="center"/>
    </xf>
    <xf numFmtId="0" fontId="20" fillId="8" borderId="15" xfId="3" applyFill="1" applyBorder="1" applyAlignment="1">
      <alignment horizontal="center" vertical="center"/>
    </xf>
    <xf numFmtId="0" fontId="20" fillId="9" borderId="11" xfId="3" applyFill="1" applyBorder="1" applyAlignment="1">
      <alignment horizontal="center" vertical="center"/>
    </xf>
    <xf numFmtId="0" fontId="20" fillId="7" borderId="11" xfId="3" applyFill="1" applyBorder="1" applyAlignment="1">
      <alignment horizontal="center" vertical="center"/>
    </xf>
    <xf numFmtId="0" fontId="20" fillId="9" borderId="15" xfId="3" applyFill="1" applyBorder="1" applyAlignment="1">
      <alignment horizontal="center" vertical="center"/>
    </xf>
    <xf numFmtId="0" fontId="0" fillId="0" borderId="0" xfId="0" applyFont="1" applyBorder="1" applyAlignment="1">
      <alignment horizontal="left" vertical="center" wrapText="1" shrinkToFit="1"/>
    </xf>
    <xf numFmtId="10" fontId="0" fillId="0" borderId="0" xfId="0" applyNumberFormat="1" applyFont="1" applyBorder="1" applyAlignment="1">
      <alignment horizontal="center" vertical="center"/>
    </xf>
    <xf numFmtId="0" fontId="0" fillId="0" borderId="0" xfId="0" applyFont="1" applyBorder="1" applyAlignment="1">
      <alignment horizontal="left" vertical="top" wrapText="1"/>
    </xf>
    <xf numFmtId="0" fontId="0" fillId="0" borderId="0" xfId="0" applyFont="1" applyBorder="1" applyAlignment="1">
      <alignment horizontal="left" vertical="top"/>
    </xf>
    <xf numFmtId="0" fontId="3" fillId="0" borderId="0" xfId="1" applyAlignment="1">
      <alignment horizontal="center" vertical="center"/>
    </xf>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20" fillId="7" borderId="11" xfId="3" applyFill="1" applyBorder="1" applyAlignment="1">
      <alignment horizontal="center" vertical="center"/>
    </xf>
    <xf numFmtId="0" fontId="20" fillId="7" borderId="13" xfId="3" applyFill="1" applyBorder="1" applyAlignment="1">
      <alignment horizontal="center" vertical="center"/>
    </xf>
    <xf numFmtId="0" fontId="0" fillId="7" borderId="4" xfId="0" applyFill="1" applyBorder="1" applyAlignment="1">
      <alignment horizontal="left" vertical="center"/>
    </xf>
    <xf numFmtId="0" fontId="0" fillId="7" borderId="14" xfId="0" applyFill="1" applyBorder="1" applyAlignment="1">
      <alignment horizontal="left" vertical="center"/>
    </xf>
    <xf numFmtId="0" fontId="20" fillId="8" borderId="2" xfId="3" applyFill="1" applyBorder="1" applyAlignment="1">
      <alignment horizontal="center" vertical="center"/>
    </xf>
    <xf numFmtId="0" fontId="20" fillId="8" borderId="5" xfId="3" applyFill="1" applyBorder="1" applyAlignment="1">
      <alignment horizontal="center" vertical="center"/>
    </xf>
    <xf numFmtId="0" fontId="0" fillId="8" borderId="3" xfId="0" applyFill="1" applyBorder="1" applyAlignment="1">
      <alignment horizontal="left" vertical="center"/>
    </xf>
    <xf numFmtId="0" fontId="0" fillId="8" borderId="6" xfId="0" applyFill="1" applyBorder="1" applyAlignment="1">
      <alignment horizontal="left" vertical="center"/>
    </xf>
    <xf numFmtId="0" fontId="20" fillId="7" borderId="2" xfId="3" applyFill="1" applyBorder="1" applyAlignment="1">
      <alignment horizontal="center" vertical="center"/>
    </xf>
    <xf numFmtId="0" fontId="20" fillId="7" borderId="5" xfId="3" applyFill="1" applyBorder="1" applyAlignment="1">
      <alignment horizontal="center" vertical="center"/>
    </xf>
    <xf numFmtId="0" fontId="0" fillId="7" borderId="3" xfId="0" applyFill="1" applyBorder="1" applyAlignment="1">
      <alignment horizontal="left" vertical="center" wrapText="1"/>
    </xf>
    <xf numFmtId="0" fontId="0" fillId="7" borderId="6" xfId="0" applyFill="1" applyBorder="1" applyAlignment="1">
      <alignment horizontal="left" vertical="center" wrapText="1"/>
    </xf>
    <xf numFmtId="0" fontId="0" fillId="7" borderId="6" xfId="0" applyFill="1" applyBorder="1" applyAlignment="1">
      <alignment horizontal="left" vertical="center"/>
    </xf>
    <xf numFmtId="0" fontId="12" fillId="5" borderId="11" xfId="0" applyFont="1" applyFill="1" applyBorder="1" applyAlignment="1">
      <alignment horizontal="center"/>
    </xf>
    <xf numFmtId="0" fontId="12" fillId="5" borderId="4" xfId="0" applyFont="1" applyFill="1" applyBorder="1" applyAlignment="1">
      <alignment horizontal="center"/>
    </xf>
    <xf numFmtId="0" fontId="12" fillId="5" borderId="17" xfId="0" applyFont="1" applyFill="1" applyBorder="1" applyAlignment="1">
      <alignment horizontal="center"/>
    </xf>
    <xf numFmtId="0" fontId="20" fillId="8" borderId="9" xfId="3" applyFill="1" applyBorder="1" applyAlignment="1">
      <alignment horizontal="center" vertical="center"/>
    </xf>
    <xf numFmtId="0" fontId="0" fillId="8" borderId="10" xfId="0" applyFill="1" applyBorder="1" applyAlignment="1">
      <alignment horizontal="left" vertical="center"/>
    </xf>
  </cellXfs>
  <cellStyles count="4">
    <cellStyle name="Heading 1" xfId="2" builtinId="16"/>
    <cellStyle name="Hyperlink" xfId="3" builtinId="8"/>
    <cellStyle name="Normal" xfId="0" builtinId="0"/>
    <cellStyle name="Normal 2" xfId="1" xr:uid="{00000000-0005-0000-0000-000001000000}"/>
  </cellStyles>
  <dxfs count="17">
    <dxf>
      <alignment horizontal="general" vertical="bottom" textRotation="0" wrapText="1" indent="0" justifyLastLine="0" shrinkToFit="1" readingOrder="0"/>
    </dxf>
    <dxf>
      <font>
        <b/>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7E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108</xdr:col>
      <xdr:colOff>0</xdr:colOff>
      <xdr:row>0</xdr:row>
      <xdr:rowOff>0</xdr:rowOff>
    </xdr:from>
    <xdr:to>
      <xdr:col>116</xdr:col>
      <xdr:colOff>254000</xdr:colOff>
      <xdr:row>16</xdr:row>
      <xdr:rowOff>644369</xdr:rowOff>
    </xdr:to>
    <xdr:pic>
      <xdr:nvPicPr>
        <xdr:cNvPr id="1348" name="Picture 2">
          <a:extLst>
            <a:ext uri="{FF2B5EF4-FFF2-40B4-BE49-F238E27FC236}">
              <a16:creationId xmlns:a16="http://schemas.microsoft.com/office/drawing/2014/main"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0</xdr:row>
      <xdr:rowOff>0</xdr:rowOff>
    </xdr:from>
    <xdr:to>
      <xdr:col>146</xdr:col>
      <xdr:colOff>381003</xdr:colOff>
      <xdr:row>26</xdr:row>
      <xdr:rowOff>436152</xdr:rowOff>
    </xdr:to>
    <xdr:pic>
      <xdr:nvPicPr>
        <xdr:cNvPr id="1349" name="Picture 3">
          <a:extLst>
            <a:ext uri="{FF2B5EF4-FFF2-40B4-BE49-F238E27FC236}">
              <a16:creationId xmlns:a16="http://schemas.microsoft.com/office/drawing/2014/main"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a16="http://schemas.microsoft.com/office/drawing/2014/main"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M29" totalsRowShown="0" headerRowDxfId="16">
  <autoFilter ref="A1:M29" xr:uid="{00000000-0009-0000-0100-000001000000}"/>
  <tableColumns count="13">
    <tableColumn id="1" xr3:uid="{00000000-0010-0000-0000-000001000000}" name="Req.ID" dataDxfId="15"/>
    <tableColumn id="3" xr3:uid="{00000000-0010-0000-0000-000003000000}" name="Requirement" dataDxfId="14"/>
    <tableColumn id="4" xr3:uid="{00000000-0010-0000-0000-000004000000}" name="Description" dataDxfId="13"/>
    <tableColumn id="5" xr3:uid="{00000000-0010-0000-0000-000005000000}" name="Responsibility" dataDxfId="12"/>
    <tableColumn id="6" xr3:uid="{00000000-0010-0000-0000-000006000000}" name="Priority_x000a_1: low 3: high" dataDxfId="11"/>
    <tableColumn id="7" xr3:uid="{00000000-0010-0000-0000-000007000000}" name="Functional Req. ?" dataDxfId="10"/>
    <tableColumn id="8" xr3:uid="{00000000-0010-0000-0000-000008000000}" name="Associated_x000a_Test ID" dataDxfId="9"/>
    <tableColumn id="9" xr3:uid="{00000000-0010-0000-0000-000009000000}" name="% Maturity" dataDxfId="8"/>
    <tableColumn id="12" xr3:uid="{3AB6E413-8421-4205-8E91-7C6081E14F55}" name="Risk" dataDxfId="7"/>
    <tableColumn id="11" xr3:uid="{94E9288C-DBFD-4230-9561-A9EA0D3D2A58}" name="Severity_x000a_1: low 3: high" dataDxfId="6"/>
    <tableColumn id="13" xr3:uid="{275FD6DF-8053-4408-A3C4-9A0A590C572D}" name="Probability" dataDxfId="5"/>
    <tableColumn id="2" xr3:uid="{8FB1CF31-35D7-487A-BD76-0F9A9B03A789}" name="RiskValue" dataDxfId="4">
      <calculatedColumnFormula>IF(F2="yes", J2*K2, " " )</calculatedColumnFormula>
    </tableColumn>
    <tableColumn id="10" xr3:uid="{00000000-0010-0000-0000-00000A000000}" name="Remark" dataDxfId="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79CA5F4-BEBF-BA45-AC43-E37AF6801941}" name="Table2" displayName="Table2" ref="A1:C10" totalsRowShown="0">
  <autoFilter ref="A1:C10" xr:uid="{49BE8370-8D56-AD4D-9ED4-3BAF7766B9AC}"/>
  <tableColumns count="3">
    <tableColumn id="1" xr3:uid="{9441FFDE-C395-2044-AC18-DD9B197682BE}" name="Parameter"/>
    <tableColumn id="2" xr3:uid="{1A7D9F30-6166-3944-9F99-0E0601E1753D}" name="Value"/>
    <tableColumn id="3" xr3:uid="{6583A2DC-1383-0545-9A5F-FCFB3C7EA509}" name="Descriptio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4FA67-849F-4B03-92DF-B653481454CB}" name="Table14" displayName="Table14" ref="B3:D10" totalsRowShown="0">
  <autoFilter ref="B3:D10" xr:uid="{AA96F58B-A2F3-426C-A66C-DAF9DF63CD9D}"/>
  <sortState xmlns:xlrd2="http://schemas.microsoft.com/office/spreadsheetml/2017/richdata2" ref="B4:D9">
    <sortCondition ref="C4"/>
  </sortState>
  <tableColumns count="3">
    <tableColumn id="1" xr3:uid="{5604764A-8A76-4F53-8213-E58B398036DF}" name="no." dataDxfId="2"/>
    <tableColumn id="2" xr3:uid="{71452163-14B0-4879-9D02-049B456C936B}" name="item" dataDxfId="1"/>
    <tableColumn id="3" xr3:uid="{A8EAAA3A-EDB5-4FEC-9FCE-5D07EBD5D0E9}"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0"/>
  <sheetViews>
    <sheetView tabSelected="1" topLeftCell="A2" workbookViewId="0">
      <selection activeCell="C15" sqref="C15"/>
    </sheetView>
  </sheetViews>
  <sheetFormatPr defaultColWidth="8.796875" defaultRowHeight="15.6"/>
  <cols>
    <col min="3" max="3" width="23.796875" customWidth="1"/>
    <col min="4" max="4" width="14.8984375" customWidth="1"/>
    <col min="5" max="5" width="10.796875" customWidth="1"/>
  </cols>
  <sheetData>
    <row r="1" spans="1:10" ht="33.6">
      <c r="A1" s="78">
        <v>43397</v>
      </c>
      <c r="B1" s="79"/>
      <c r="C1" s="79"/>
    </row>
    <row r="2" spans="1:10" ht="23.4">
      <c r="A2" s="80" t="s">
        <v>10</v>
      </c>
      <c r="B2" s="80"/>
      <c r="C2" s="80"/>
      <c r="D2" s="80"/>
      <c r="E2" s="80"/>
      <c r="F2" s="80"/>
      <c r="G2" s="80"/>
      <c r="H2" s="80"/>
    </row>
    <row r="3" spans="1:10">
      <c r="A3" s="6" t="s">
        <v>8</v>
      </c>
      <c r="C3" s="6" t="s">
        <v>25</v>
      </c>
      <c r="D3" s="5"/>
      <c r="E3" s="5"/>
      <c r="F3" s="5"/>
      <c r="G3" s="5"/>
      <c r="H3" s="5"/>
    </row>
    <row r="4" spans="1:10" ht="41.55" customHeight="1">
      <c r="A4" s="81" t="s">
        <v>11</v>
      </c>
      <c r="B4" s="82"/>
      <c r="C4" s="82"/>
      <c r="D4" s="82"/>
      <c r="E4" s="82"/>
      <c r="F4" s="82"/>
      <c r="G4" s="82"/>
      <c r="H4" s="82"/>
      <c r="I4" s="82"/>
      <c r="J4" s="82"/>
    </row>
    <row r="5" spans="1:10" ht="13.5" customHeight="1"/>
    <row r="6" spans="1:10" ht="45.3" customHeight="1">
      <c r="A6" s="83" t="s">
        <v>12</v>
      </c>
      <c r="B6" s="84"/>
      <c r="C6" s="84"/>
      <c r="D6" s="84"/>
      <c r="E6" s="84"/>
      <c r="F6" s="84"/>
      <c r="G6" s="84"/>
      <c r="H6" s="84"/>
      <c r="I6" s="84"/>
      <c r="J6" s="84"/>
    </row>
    <row r="8" spans="1:10">
      <c r="A8" s="85" t="s">
        <v>1</v>
      </c>
      <c r="B8" s="85"/>
    </row>
    <row r="9" spans="1:10" ht="28.8">
      <c r="A9" s="3" t="s">
        <v>2</v>
      </c>
      <c r="B9" s="4" t="s">
        <v>0</v>
      </c>
      <c r="C9" s="4" t="s">
        <v>3</v>
      </c>
      <c r="D9" s="4" t="s">
        <v>4</v>
      </c>
      <c r="E9" s="4" t="s">
        <v>5</v>
      </c>
    </row>
    <row r="10" spans="1:10">
      <c r="A10">
        <v>1</v>
      </c>
      <c r="B10" t="s">
        <v>6</v>
      </c>
      <c r="C10" t="s">
        <v>7</v>
      </c>
      <c r="D10" t="s">
        <v>62</v>
      </c>
      <c r="E10" s="1">
        <v>43397</v>
      </c>
    </row>
    <row r="11" spans="1:10">
      <c r="A11">
        <v>2</v>
      </c>
      <c r="B11" t="s">
        <v>6</v>
      </c>
      <c r="C11" t="s">
        <v>106</v>
      </c>
      <c r="D11" t="s">
        <v>107</v>
      </c>
      <c r="E11" s="1">
        <v>43402</v>
      </c>
    </row>
    <row r="12" spans="1:10">
      <c r="A12">
        <v>3</v>
      </c>
      <c r="B12" t="s">
        <v>6</v>
      </c>
      <c r="C12" t="s">
        <v>201</v>
      </c>
      <c r="D12" t="s">
        <v>108</v>
      </c>
      <c r="E12" s="1">
        <v>43402</v>
      </c>
    </row>
    <row r="13" spans="1:10">
      <c r="A13">
        <v>4</v>
      </c>
      <c r="B13" t="s">
        <v>249</v>
      </c>
      <c r="C13" t="s">
        <v>250</v>
      </c>
      <c r="D13" t="s">
        <v>251</v>
      </c>
      <c r="E13" s="1">
        <v>43427</v>
      </c>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32"/>
  <sheetViews>
    <sheetView topLeftCell="A7" zoomScaleNormal="100" workbookViewId="0">
      <selection activeCell="B13" sqref="B13"/>
    </sheetView>
  </sheetViews>
  <sheetFormatPr defaultColWidth="8.796875" defaultRowHeight="15.6"/>
  <cols>
    <col min="1" max="1" width="17.69921875" style="2" customWidth="1"/>
    <col min="2" max="2" width="83.19921875" style="8" customWidth="1"/>
    <col min="3" max="3" width="36.296875" style="2" hidden="1" customWidth="1"/>
    <col min="4" max="4" width="0.19921875" style="2" customWidth="1"/>
    <col min="5" max="5" width="16.19921875" style="7" customWidth="1"/>
    <col min="6" max="6" width="20.69921875" style="7" customWidth="1"/>
    <col min="7" max="7" width="33" style="7" hidden="1" customWidth="1"/>
    <col min="8" max="8" width="17" style="2" customWidth="1"/>
    <col min="9" max="9" width="43.3984375" style="2" customWidth="1"/>
    <col min="10" max="12" width="17" style="2" customWidth="1"/>
    <col min="13" max="13" width="17.296875" style="2" customWidth="1"/>
    <col min="14" max="16384" width="8.796875" style="2"/>
  </cols>
  <sheetData>
    <row r="1" spans="1:13" s="8" customFormat="1" ht="42" customHeight="1">
      <c r="A1" s="12" t="s">
        <v>13</v>
      </c>
      <c r="B1" s="12" t="s">
        <v>14</v>
      </c>
      <c r="C1" s="12" t="s">
        <v>15</v>
      </c>
      <c r="D1" s="12" t="s">
        <v>87</v>
      </c>
      <c r="E1" s="18" t="s">
        <v>61</v>
      </c>
      <c r="F1" s="12" t="s">
        <v>17</v>
      </c>
      <c r="G1" s="12" t="s">
        <v>24</v>
      </c>
      <c r="H1" s="18" t="s">
        <v>16</v>
      </c>
      <c r="I1" s="18" t="s">
        <v>234</v>
      </c>
      <c r="J1" s="18" t="s">
        <v>237</v>
      </c>
      <c r="K1" s="18" t="s">
        <v>235</v>
      </c>
      <c r="L1" s="18" t="s">
        <v>236</v>
      </c>
      <c r="M1" s="12" t="s">
        <v>9</v>
      </c>
    </row>
    <row r="2" spans="1:13" ht="31.2">
      <c r="A2" s="13" t="s">
        <v>26</v>
      </c>
      <c r="B2" s="14" t="s">
        <v>202</v>
      </c>
      <c r="C2" s="14"/>
      <c r="D2" s="13"/>
      <c r="E2" s="15">
        <v>3</v>
      </c>
      <c r="F2" s="15" t="s">
        <v>19</v>
      </c>
      <c r="G2" s="66" t="s">
        <v>109</v>
      </c>
      <c r="H2" s="13">
        <v>0</v>
      </c>
      <c r="I2" s="75" t="s">
        <v>242</v>
      </c>
      <c r="J2" s="13">
        <v>3</v>
      </c>
      <c r="K2" s="74">
        <v>0.3</v>
      </c>
      <c r="L2" s="77">
        <f t="shared" ref="L2:L29" si="0">IF(F2="yes", J2*K2, " " )</f>
        <v>0.89999999999999991</v>
      </c>
      <c r="M2" s="16"/>
    </row>
    <row r="3" spans="1:13">
      <c r="A3" s="13" t="s">
        <v>27</v>
      </c>
      <c r="B3" s="14" t="s">
        <v>52</v>
      </c>
      <c r="C3" s="17"/>
      <c r="D3" s="13"/>
      <c r="E3" s="15">
        <v>3</v>
      </c>
      <c r="F3" s="15" t="s">
        <v>19</v>
      </c>
      <c r="G3" s="66" t="s">
        <v>112</v>
      </c>
      <c r="H3" s="13">
        <v>0</v>
      </c>
      <c r="I3" s="75" t="s">
        <v>243</v>
      </c>
      <c r="J3" s="13">
        <v>3</v>
      </c>
      <c r="K3" s="74">
        <v>0.25</v>
      </c>
      <c r="L3" s="13">
        <f t="shared" si="0"/>
        <v>0.75</v>
      </c>
      <c r="M3" s="16"/>
    </row>
    <row r="4" spans="1:13">
      <c r="A4" s="13" t="s">
        <v>28</v>
      </c>
      <c r="B4" s="14" t="s">
        <v>100</v>
      </c>
      <c r="C4" s="17"/>
      <c r="D4" s="13"/>
      <c r="E4" s="15">
        <v>3</v>
      </c>
      <c r="F4" s="15" t="s">
        <v>19</v>
      </c>
      <c r="G4" s="66" t="s">
        <v>118</v>
      </c>
      <c r="H4" s="13">
        <v>0</v>
      </c>
      <c r="I4" s="75" t="s">
        <v>243</v>
      </c>
      <c r="J4" s="13">
        <v>3</v>
      </c>
      <c r="K4" s="74">
        <v>0.5</v>
      </c>
      <c r="L4" s="13">
        <f t="shared" si="0"/>
        <v>1.5</v>
      </c>
      <c r="M4" s="16"/>
    </row>
    <row r="5" spans="1:13">
      <c r="A5" s="13" t="s">
        <v>29</v>
      </c>
      <c r="B5" s="14" t="s">
        <v>50</v>
      </c>
      <c r="C5" s="17"/>
      <c r="D5" s="13"/>
      <c r="E5" s="15">
        <v>3</v>
      </c>
      <c r="F5" s="15" t="s">
        <v>19</v>
      </c>
      <c r="G5" s="66" t="s">
        <v>124</v>
      </c>
      <c r="H5" s="13">
        <v>0</v>
      </c>
      <c r="I5" s="75" t="s">
        <v>243</v>
      </c>
      <c r="J5" s="13">
        <v>3</v>
      </c>
      <c r="K5" s="74">
        <v>0.1</v>
      </c>
      <c r="L5" s="13">
        <f t="shared" si="0"/>
        <v>0.30000000000000004</v>
      </c>
      <c r="M5" s="16"/>
    </row>
    <row r="6" spans="1:13">
      <c r="A6" s="13" t="s">
        <v>30</v>
      </c>
      <c r="B6" s="14" t="s">
        <v>51</v>
      </c>
      <c r="C6" s="17"/>
      <c r="D6" s="13"/>
      <c r="E6" s="15">
        <v>1</v>
      </c>
      <c r="F6" s="15" t="s">
        <v>18</v>
      </c>
      <c r="G6" s="15"/>
      <c r="H6" s="13">
        <v>0</v>
      </c>
      <c r="I6" s="76"/>
      <c r="J6" s="13"/>
      <c r="K6" s="74"/>
      <c r="L6" s="13" t="str">
        <f t="shared" si="0"/>
        <v xml:space="preserve"> </v>
      </c>
      <c r="M6" s="16"/>
    </row>
    <row r="7" spans="1:13" ht="15.45" customHeight="1">
      <c r="A7" s="13" t="s">
        <v>31</v>
      </c>
      <c r="B7" s="14" t="s">
        <v>92</v>
      </c>
      <c r="C7" s="14"/>
      <c r="D7" s="13"/>
      <c r="E7" s="15">
        <v>1</v>
      </c>
      <c r="F7" s="15" t="s">
        <v>18</v>
      </c>
      <c r="G7" s="15"/>
      <c r="H7" s="13">
        <v>0</v>
      </c>
      <c r="I7" s="76"/>
      <c r="J7" s="13"/>
      <c r="K7" s="74"/>
      <c r="L7" s="13" t="str">
        <f t="shared" si="0"/>
        <v xml:space="preserve"> </v>
      </c>
      <c r="M7" s="16"/>
    </row>
    <row r="8" spans="1:13" ht="69" customHeight="1">
      <c r="A8" s="13" t="s">
        <v>32</v>
      </c>
      <c r="B8" s="14" t="s">
        <v>55</v>
      </c>
      <c r="C8" s="14"/>
      <c r="D8" s="13"/>
      <c r="E8" s="15">
        <v>3</v>
      </c>
      <c r="F8" s="15" t="s">
        <v>19</v>
      </c>
      <c r="G8" s="66" t="s">
        <v>128</v>
      </c>
      <c r="H8" s="13">
        <v>0</v>
      </c>
      <c r="I8" s="75" t="s">
        <v>238</v>
      </c>
      <c r="J8" s="13">
        <v>1</v>
      </c>
      <c r="K8" s="74">
        <v>0.75</v>
      </c>
      <c r="L8" s="13">
        <f t="shared" si="0"/>
        <v>0.75</v>
      </c>
      <c r="M8" s="16"/>
    </row>
    <row r="9" spans="1:13" ht="15.45" customHeight="1">
      <c r="A9" s="13" t="s">
        <v>33</v>
      </c>
      <c r="B9" s="14" t="s">
        <v>88</v>
      </c>
      <c r="C9" s="14"/>
      <c r="D9" s="13"/>
      <c r="E9" s="15">
        <v>1</v>
      </c>
      <c r="F9" s="15" t="s">
        <v>19</v>
      </c>
      <c r="G9" s="66" t="s">
        <v>139</v>
      </c>
      <c r="H9" s="13">
        <v>0</v>
      </c>
      <c r="I9" s="76" t="s">
        <v>239</v>
      </c>
      <c r="J9" s="13">
        <v>0</v>
      </c>
      <c r="K9" s="74">
        <v>0.5</v>
      </c>
      <c r="L9" s="13">
        <f t="shared" si="0"/>
        <v>0</v>
      </c>
      <c r="M9" s="16"/>
    </row>
    <row r="10" spans="1:13" ht="15.45" customHeight="1">
      <c r="A10" s="13" t="s">
        <v>34</v>
      </c>
      <c r="B10" s="14" t="s">
        <v>63</v>
      </c>
      <c r="C10" s="14"/>
      <c r="D10" s="13"/>
      <c r="E10" s="15">
        <v>1</v>
      </c>
      <c r="F10" s="15" t="s">
        <v>19</v>
      </c>
      <c r="G10" s="66" t="s">
        <v>144</v>
      </c>
      <c r="H10" s="13">
        <v>0</v>
      </c>
      <c r="I10" s="76" t="s">
        <v>240</v>
      </c>
      <c r="J10" s="13">
        <v>1</v>
      </c>
      <c r="K10" s="74">
        <v>0.05</v>
      </c>
      <c r="L10" s="13">
        <f t="shared" si="0"/>
        <v>0.05</v>
      </c>
      <c r="M10" s="16"/>
    </row>
    <row r="11" spans="1:13" ht="15.45" customHeight="1">
      <c r="A11" s="13" t="s">
        <v>35</v>
      </c>
      <c r="B11" s="14" t="s">
        <v>64</v>
      </c>
      <c r="C11" s="14"/>
      <c r="D11" s="13"/>
      <c r="E11" s="15">
        <v>2</v>
      </c>
      <c r="F11" s="15" t="s">
        <v>18</v>
      </c>
      <c r="H11" s="13">
        <v>0</v>
      </c>
      <c r="I11" s="76"/>
      <c r="J11" s="13"/>
      <c r="K11" s="74"/>
      <c r="L11" s="13" t="str">
        <f t="shared" si="0"/>
        <v xml:space="preserve"> </v>
      </c>
      <c r="M11" s="16"/>
    </row>
    <row r="12" spans="1:13" ht="15.45" customHeight="1">
      <c r="A12" s="13" t="s">
        <v>36</v>
      </c>
      <c r="B12" s="14" t="s">
        <v>65</v>
      </c>
      <c r="C12" s="14"/>
      <c r="D12" s="13"/>
      <c r="E12" s="15">
        <v>1</v>
      </c>
      <c r="F12" s="15" t="s">
        <v>19</v>
      </c>
      <c r="G12" s="66" t="s">
        <v>149</v>
      </c>
      <c r="H12" s="13">
        <v>0</v>
      </c>
      <c r="I12" s="76" t="s">
        <v>239</v>
      </c>
      <c r="J12" s="13">
        <v>0</v>
      </c>
      <c r="K12" s="74">
        <v>0.5</v>
      </c>
      <c r="L12" s="13">
        <f t="shared" si="0"/>
        <v>0</v>
      </c>
      <c r="M12" s="16"/>
    </row>
    <row r="13" spans="1:13" ht="15.45" customHeight="1">
      <c r="A13" s="13" t="s">
        <v>37</v>
      </c>
      <c r="B13" s="14" t="s">
        <v>66</v>
      </c>
      <c r="C13" s="14"/>
      <c r="D13" s="13"/>
      <c r="E13" s="15">
        <v>2</v>
      </c>
      <c r="F13" s="15" t="s">
        <v>18</v>
      </c>
      <c r="G13" s="15"/>
      <c r="H13" s="13">
        <v>0</v>
      </c>
      <c r="I13" s="76"/>
      <c r="J13" s="13"/>
      <c r="K13" s="74"/>
      <c r="L13" s="13" t="str">
        <f t="shared" si="0"/>
        <v xml:space="preserve"> </v>
      </c>
      <c r="M13" s="16"/>
    </row>
    <row r="14" spans="1:13" ht="15.45" customHeight="1">
      <c r="A14" s="13" t="s">
        <v>38</v>
      </c>
      <c r="B14" s="14" t="s">
        <v>67</v>
      </c>
      <c r="C14" s="14"/>
      <c r="D14" s="13"/>
      <c r="E14" s="15">
        <v>2</v>
      </c>
      <c r="F14" s="15" t="s">
        <v>18</v>
      </c>
      <c r="G14" s="15"/>
      <c r="H14" s="13">
        <v>0</v>
      </c>
      <c r="I14" s="76"/>
      <c r="J14" s="13"/>
      <c r="K14" s="74"/>
      <c r="L14" s="13" t="str">
        <f t="shared" si="0"/>
        <v xml:space="preserve"> </v>
      </c>
      <c r="M14" s="16"/>
    </row>
    <row r="15" spans="1:13" ht="15.45" customHeight="1">
      <c r="A15" s="13" t="s">
        <v>85</v>
      </c>
      <c r="B15" s="14" t="s">
        <v>76</v>
      </c>
      <c r="C15" s="14"/>
      <c r="D15" s="13"/>
      <c r="E15" s="15">
        <v>2</v>
      </c>
      <c r="F15" s="15" t="s">
        <v>18</v>
      </c>
      <c r="G15" s="15"/>
      <c r="H15" s="13">
        <v>0</v>
      </c>
      <c r="I15" s="76"/>
      <c r="J15" s="13"/>
      <c r="K15" s="74"/>
      <c r="L15" s="13" t="str">
        <f t="shared" si="0"/>
        <v xml:space="preserve"> </v>
      </c>
      <c r="M15" s="16"/>
    </row>
    <row r="16" spans="1:13" ht="15.45" customHeight="1">
      <c r="A16" s="13" t="s">
        <v>39</v>
      </c>
      <c r="B16" s="14" t="s">
        <v>53</v>
      </c>
      <c r="C16" s="14"/>
      <c r="D16" s="13"/>
      <c r="E16" s="15">
        <v>3</v>
      </c>
      <c r="F16" s="15" t="s">
        <v>19</v>
      </c>
      <c r="G16" s="66" t="s">
        <v>151</v>
      </c>
      <c r="H16" s="13">
        <v>0</v>
      </c>
      <c r="I16" s="76" t="s">
        <v>241</v>
      </c>
      <c r="J16" s="13">
        <v>3</v>
      </c>
      <c r="K16" s="74">
        <v>0.05</v>
      </c>
      <c r="L16" s="13">
        <f t="shared" si="0"/>
        <v>0.15000000000000002</v>
      </c>
      <c r="M16" s="16"/>
    </row>
    <row r="17" spans="1:13" ht="52.2" customHeight="1">
      <c r="A17" s="13" t="s">
        <v>40</v>
      </c>
      <c r="B17" s="14" t="s">
        <v>54</v>
      </c>
      <c r="C17" s="14"/>
      <c r="D17" s="13"/>
      <c r="E17" s="15">
        <v>3</v>
      </c>
      <c r="F17" s="15" t="s">
        <v>19</v>
      </c>
      <c r="G17" s="66" t="s">
        <v>158</v>
      </c>
      <c r="H17" s="13">
        <v>0</v>
      </c>
      <c r="I17" s="75" t="s">
        <v>244</v>
      </c>
      <c r="J17" s="13">
        <v>2</v>
      </c>
      <c r="K17" s="74">
        <v>0.05</v>
      </c>
      <c r="L17" s="13">
        <f t="shared" si="0"/>
        <v>0.1</v>
      </c>
      <c r="M17" s="16"/>
    </row>
    <row r="18" spans="1:13" ht="36.6" customHeight="1">
      <c r="A18" s="13" t="s">
        <v>41</v>
      </c>
      <c r="B18" s="14" t="s">
        <v>81</v>
      </c>
      <c r="C18" s="14"/>
      <c r="D18" s="13"/>
      <c r="E18" s="15">
        <v>2</v>
      </c>
      <c r="F18" s="15" t="s">
        <v>19</v>
      </c>
      <c r="G18" s="66" t="s">
        <v>161</v>
      </c>
      <c r="H18" s="13">
        <v>0</v>
      </c>
      <c r="I18" s="75" t="s">
        <v>245</v>
      </c>
      <c r="J18" s="13">
        <v>1</v>
      </c>
      <c r="K18" s="74">
        <v>0.9</v>
      </c>
      <c r="L18" s="13">
        <f t="shared" si="0"/>
        <v>0.9</v>
      </c>
      <c r="M18" s="16"/>
    </row>
    <row r="19" spans="1:13" ht="15.45" customHeight="1">
      <c r="A19" s="13" t="s">
        <v>42</v>
      </c>
      <c r="B19" s="14" t="s">
        <v>89</v>
      </c>
      <c r="C19" s="14"/>
      <c r="D19" s="13"/>
      <c r="E19" s="15">
        <v>3</v>
      </c>
      <c r="F19" s="15" t="s">
        <v>18</v>
      </c>
      <c r="G19" s="15"/>
      <c r="H19" s="13">
        <v>0</v>
      </c>
      <c r="I19" s="76"/>
      <c r="J19" s="13"/>
      <c r="K19" s="74"/>
      <c r="L19" s="13" t="str">
        <f t="shared" si="0"/>
        <v xml:space="preserve"> </v>
      </c>
      <c r="M19" s="16"/>
    </row>
    <row r="20" spans="1:13" ht="34.200000000000003" customHeight="1">
      <c r="A20" s="13" t="s">
        <v>43</v>
      </c>
      <c r="B20" s="14" t="s">
        <v>96</v>
      </c>
      <c r="C20" s="14"/>
      <c r="D20" s="13"/>
      <c r="E20" s="15">
        <v>2</v>
      </c>
      <c r="F20" s="15" t="s">
        <v>19</v>
      </c>
      <c r="G20" s="66" t="s">
        <v>163</v>
      </c>
      <c r="H20" s="13">
        <v>0</v>
      </c>
      <c r="I20" s="75" t="s">
        <v>246</v>
      </c>
      <c r="J20" s="13">
        <v>3</v>
      </c>
      <c r="K20" s="74">
        <v>0.05</v>
      </c>
      <c r="L20" s="13">
        <f t="shared" si="0"/>
        <v>0.15000000000000002</v>
      </c>
      <c r="M20" s="16"/>
    </row>
    <row r="21" spans="1:13" ht="15.45" customHeight="1">
      <c r="A21" s="13" t="s">
        <v>44</v>
      </c>
      <c r="B21" s="14" t="s">
        <v>90</v>
      </c>
      <c r="C21" s="14"/>
      <c r="D21" s="13"/>
      <c r="E21" s="15">
        <v>2</v>
      </c>
      <c r="F21" s="15" t="s">
        <v>18</v>
      </c>
      <c r="G21" s="15"/>
      <c r="H21" s="13">
        <v>0</v>
      </c>
      <c r="I21" s="76"/>
      <c r="J21" s="13"/>
      <c r="K21" s="74"/>
      <c r="L21" s="13" t="str">
        <f t="shared" si="0"/>
        <v xml:space="preserve"> </v>
      </c>
      <c r="M21" s="16"/>
    </row>
    <row r="22" spans="1:13" ht="15.45" customHeight="1">
      <c r="A22" s="13" t="s">
        <v>45</v>
      </c>
      <c r="B22" s="14" t="s">
        <v>56</v>
      </c>
      <c r="C22" s="14"/>
      <c r="D22" s="13"/>
      <c r="E22" s="15">
        <v>2</v>
      </c>
      <c r="F22" s="15" t="s">
        <v>18</v>
      </c>
      <c r="G22" s="15"/>
      <c r="H22" s="13">
        <v>0</v>
      </c>
      <c r="I22" s="76"/>
      <c r="J22" s="13"/>
      <c r="K22" s="74"/>
      <c r="L22" s="13" t="str">
        <f t="shared" si="0"/>
        <v xml:space="preserve"> </v>
      </c>
      <c r="M22" s="16"/>
    </row>
    <row r="23" spans="1:13" ht="15.45" customHeight="1">
      <c r="A23" s="13" t="s">
        <v>46</v>
      </c>
      <c r="B23" s="14" t="s">
        <v>91</v>
      </c>
      <c r="C23" s="14"/>
      <c r="D23" s="13"/>
      <c r="E23" s="15">
        <v>2</v>
      </c>
      <c r="F23" s="15" t="s">
        <v>18</v>
      </c>
      <c r="G23" s="15"/>
      <c r="H23" s="13">
        <v>0</v>
      </c>
      <c r="I23" s="76"/>
      <c r="J23" s="13"/>
      <c r="K23" s="74"/>
      <c r="L23" s="13" t="str">
        <f t="shared" si="0"/>
        <v xml:space="preserve"> </v>
      </c>
      <c r="M23" s="16"/>
    </row>
    <row r="24" spans="1:13" ht="15.45" customHeight="1">
      <c r="A24" s="13" t="s">
        <v>47</v>
      </c>
      <c r="B24" s="14" t="s">
        <v>57</v>
      </c>
      <c r="C24" s="14"/>
      <c r="D24" s="13"/>
      <c r="E24" s="15">
        <v>3</v>
      </c>
      <c r="F24" s="15" t="s">
        <v>19</v>
      </c>
      <c r="G24" s="66" t="s">
        <v>166</v>
      </c>
      <c r="H24" s="13">
        <v>0</v>
      </c>
      <c r="I24" s="75" t="s">
        <v>247</v>
      </c>
      <c r="J24" s="13">
        <v>3</v>
      </c>
      <c r="K24" s="74">
        <v>0.1</v>
      </c>
      <c r="L24" s="13">
        <f t="shared" si="0"/>
        <v>0.30000000000000004</v>
      </c>
      <c r="M24" s="16"/>
    </row>
    <row r="25" spans="1:13" ht="15.45" customHeight="1">
      <c r="A25" s="13" t="s">
        <v>72</v>
      </c>
      <c r="B25" s="14" t="s">
        <v>82</v>
      </c>
      <c r="C25" s="14"/>
      <c r="D25" s="13"/>
      <c r="E25" s="15">
        <v>3</v>
      </c>
      <c r="F25" s="15" t="s">
        <v>19</v>
      </c>
      <c r="G25" s="66" t="s">
        <v>170</v>
      </c>
      <c r="H25" s="13">
        <v>0</v>
      </c>
      <c r="I25" s="75" t="s">
        <v>247</v>
      </c>
      <c r="J25" s="13">
        <v>3</v>
      </c>
      <c r="K25" s="74">
        <v>0.3</v>
      </c>
      <c r="L25" s="13">
        <f t="shared" si="0"/>
        <v>0.89999999999999991</v>
      </c>
      <c r="M25" s="16"/>
    </row>
    <row r="26" spans="1:13" ht="68.400000000000006" customHeight="1">
      <c r="A26" s="13" t="s">
        <v>74</v>
      </c>
      <c r="B26" s="14" t="s">
        <v>86</v>
      </c>
      <c r="C26" s="14"/>
      <c r="D26" s="13"/>
      <c r="E26" s="15">
        <v>3</v>
      </c>
      <c r="F26" s="15" t="s">
        <v>19</v>
      </c>
      <c r="G26" s="66" t="s">
        <v>173</v>
      </c>
      <c r="H26" s="13">
        <v>0</v>
      </c>
      <c r="I26" s="75" t="s">
        <v>248</v>
      </c>
      <c r="J26" s="13">
        <v>2</v>
      </c>
      <c r="K26" s="74">
        <v>0.5</v>
      </c>
      <c r="L26" s="13">
        <f t="shared" si="0"/>
        <v>1</v>
      </c>
      <c r="M26" s="16"/>
    </row>
    <row r="27" spans="1:13" ht="85.8" customHeight="1">
      <c r="A27" s="13" t="s">
        <v>104</v>
      </c>
      <c r="B27" s="73" t="s">
        <v>219</v>
      </c>
      <c r="C27" s="14"/>
      <c r="D27" s="13"/>
      <c r="E27" s="15">
        <v>2</v>
      </c>
      <c r="F27" s="15" t="s">
        <v>18</v>
      </c>
      <c r="G27" s="15"/>
      <c r="H27" s="13">
        <v>0</v>
      </c>
      <c r="I27" s="76"/>
      <c r="J27" s="13"/>
      <c r="K27" s="74"/>
      <c r="L27" s="13" t="str">
        <f t="shared" si="0"/>
        <v xml:space="preserve"> </v>
      </c>
      <c r="M27" s="16"/>
    </row>
    <row r="28" spans="1:13" ht="15.45" customHeight="1">
      <c r="A28" s="13" t="s">
        <v>48</v>
      </c>
      <c r="B28" s="14" t="s">
        <v>58</v>
      </c>
      <c r="C28" s="14"/>
      <c r="D28" s="13"/>
      <c r="E28" s="15">
        <v>1</v>
      </c>
      <c r="F28" s="15" t="s">
        <v>18</v>
      </c>
      <c r="G28" s="15"/>
      <c r="H28" s="13">
        <v>0</v>
      </c>
      <c r="I28" s="76"/>
      <c r="J28" s="13"/>
      <c r="K28" s="74"/>
      <c r="L28" s="13" t="str">
        <f t="shared" si="0"/>
        <v xml:space="preserve"> </v>
      </c>
      <c r="M28" s="16"/>
    </row>
    <row r="29" spans="1:13" ht="15.45" customHeight="1">
      <c r="A29" s="13" t="s">
        <v>49</v>
      </c>
      <c r="B29" s="14" t="s">
        <v>59</v>
      </c>
      <c r="C29" s="14"/>
      <c r="D29" s="13"/>
      <c r="E29" s="15">
        <v>1</v>
      </c>
      <c r="F29" s="15" t="s">
        <v>18</v>
      </c>
      <c r="G29" s="15"/>
      <c r="H29" s="13">
        <v>0</v>
      </c>
      <c r="I29" s="76"/>
      <c r="J29" s="13"/>
      <c r="K29" s="74"/>
      <c r="L29" s="13" t="str">
        <f t="shared" si="0"/>
        <v xml:space="preserve"> </v>
      </c>
      <c r="M29" s="16"/>
    </row>
    <row r="30" spans="1:13" ht="15.45" customHeight="1"/>
    <row r="31" spans="1:13" ht="15.45" customHeight="1"/>
    <row r="32" spans="1:13">
      <c r="E32" s="9"/>
    </row>
  </sheetData>
  <phoneticPr fontId="1" type="noConversion"/>
  <conditionalFormatting sqref="H27:L29 L2:L26 H2:I26">
    <cfRule type="colorScale" priority="4">
      <colorScale>
        <cfvo type="num" val="0"/>
        <cfvo type="percentile" val="50"/>
        <cfvo type="num" val="100"/>
        <color rgb="FFFF0000"/>
        <color rgb="FFFFEB84"/>
        <color rgb="FF63BE7B"/>
      </colorScale>
    </cfRule>
  </conditionalFormatting>
  <conditionalFormatting sqref="L2:L29">
    <cfRule type="colorScale" priority="3">
      <colorScale>
        <cfvo type="min"/>
        <cfvo type="percentile" val="50"/>
        <cfvo type="max"/>
        <color rgb="FF00B050"/>
        <color rgb="FFFFEB84"/>
        <color rgb="FFFF0000"/>
      </colorScale>
    </cfRule>
  </conditionalFormatting>
  <conditionalFormatting sqref="J2:J29">
    <cfRule type="colorScale" priority="2">
      <colorScale>
        <cfvo type="percent" val="0"/>
        <cfvo type="percentile" val="50"/>
        <cfvo type="percent" val="100"/>
        <color rgb="FF00B050"/>
        <color rgb="FFFFEB84"/>
        <color rgb="FFFF0000"/>
      </colorScale>
    </cfRule>
  </conditionalFormatting>
  <conditionalFormatting sqref="K2:K29">
    <cfRule type="colorScale" priority="1">
      <colorScale>
        <cfvo type="percent" val="0"/>
        <cfvo type="percent" val="50"/>
        <cfvo type="percent" val="100"/>
        <color rgb="FF00B050"/>
        <color rgb="FFFFEB84"/>
        <color rgb="FFFF0000"/>
      </colorScale>
    </cfRule>
  </conditionalFormatting>
  <hyperlinks>
    <hyperlink ref="G2" location="'Test Plan'!A3" display="T-FUNC-001" xr:uid="{89C90A5A-4BB4-408F-9D2F-3E74144494F5}"/>
    <hyperlink ref="G3" location="'Test Plan'!A8" display="T-FUNC-002" xr:uid="{2E13ACE3-1C36-4625-81BB-A4E3606337F1}"/>
    <hyperlink ref="G4" location="'Test Plan'!A13" display="T-FUNC-003" xr:uid="{0F0CF76B-3C04-4AE2-AD4C-E1D14EE58A74}"/>
    <hyperlink ref="G5" location="'Test Plan'!A16" display="T-FUNC-004" xr:uid="{7CDD4082-4C4A-435C-BEF5-8D7F32822C00}"/>
    <hyperlink ref="G8" location="'Test Plan'!A18" display="T-FUNC-005" xr:uid="{DB5934DD-B25D-4657-BB7C-44BDFB4C1BAA}"/>
    <hyperlink ref="G9" location="'Test Plan'!A24" display="T-FUNC-006" xr:uid="{F12F053E-A292-46B3-9ADF-F5E34C8F87ED}"/>
    <hyperlink ref="G10" location="'Test Plan'!A26" display="T-FUNC-007" xr:uid="{712602BA-48E9-4992-89E1-EB4006C0CF5A}"/>
    <hyperlink ref="G12" location="'Test Plan'!A28" display="T-FUNC-008" xr:uid="{F268B77C-D2F2-495C-BAC5-BC201A71A577}"/>
    <hyperlink ref="G16" location="'Test Plan'!A29" display="T-FUNC-009" xr:uid="{EDCBCB70-4938-4F60-80EC-5921647EF70A}"/>
    <hyperlink ref="G17" location="'Test Plan'!A31" display="T-FUNC-010" xr:uid="{C26C1A92-21C3-4EC7-945C-BF555229EBBD}"/>
    <hyperlink ref="G18" location="'Test Plan'!A32" display="T-FUNC-011" xr:uid="{FF564A1B-44BF-4DF2-A0FD-E2DB4F3258AE}"/>
    <hyperlink ref="G20" location="'Test Plan'!A33" display="T-FUNC-012" xr:uid="{BBB1A5ED-5631-4586-8609-8CA061D9F45F}"/>
    <hyperlink ref="G24" location="'Test Plan'!A34" display="T-FUNC-013" xr:uid="{8878770A-4F7E-481B-8C24-D241C1EC19BF}"/>
    <hyperlink ref="G25" location="'Test Plan'!A35" display="T-FUNC-014" xr:uid="{418FBE90-FC0C-44C5-A553-4441ED076FEC}"/>
    <hyperlink ref="G26" location="'Test Plan'!A36" display="T-FUNC-015" xr:uid="{1785F25B-C14A-4D77-86C8-2A4991746C29}"/>
  </hyperlinks>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64BC0-912A-4D45-9E6F-FE6D12F978F3}">
  <dimension ref="A1:A2"/>
  <sheetViews>
    <sheetView zoomScale="85" zoomScaleNormal="85" workbookViewId="0">
      <selection activeCell="P21" sqref="P21"/>
    </sheetView>
  </sheetViews>
  <sheetFormatPr defaultColWidth="11.19921875" defaultRowHeight="15.6"/>
  <sheetData>
    <row r="1" spans="1:1" ht="20.399999999999999" thickBot="1">
      <c r="A1" s="19" t="s">
        <v>105</v>
      </c>
    </row>
    <row r="2" spans="1:1" ht="16.2" thickTop="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68F6-5F97-3B49-BA2E-BF100372E6FC}">
  <sheetPr codeName="Sheet4"/>
  <dimension ref="A1:C10"/>
  <sheetViews>
    <sheetView zoomScale="130" zoomScaleNormal="130" workbookViewId="0">
      <selection activeCell="A6" sqref="A6"/>
    </sheetView>
  </sheetViews>
  <sheetFormatPr defaultColWidth="11.19921875" defaultRowHeight="15.6"/>
  <cols>
    <col min="1" max="1" width="19.69921875" bestFit="1" customWidth="1"/>
    <col min="3" max="3" width="36.59765625" customWidth="1"/>
  </cols>
  <sheetData>
    <row r="1" spans="1:3">
      <c r="A1" t="s">
        <v>68</v>
      </c>
      <c r="B1" t="s">
        <v>69</v>
      </c>
      <c r="C1" t="s">
        <v>15</v>
      </c>
    </row>
    <row r="2" spans="1:3">
      <c r="A2" t="s">
        <v>70</v>
      </c>
      <c r="B2" t="s">
        <v>71</v>
      </c>
      <c r="C2" t="s">
        <v>75</v>
      </c>
    </row>
    <row r="3" spans="1:3">
      <c r="A3" t="s">
        <v>73</v>
      </c>
      <c r="B3" t="s">
        <v>83</v>
      </c>
      <c r="C3" t="s">
        <v>84</v>
      </c>
    </row>
    <row r="4" spans="1:3">
      <c r="A4" t="s">
        <v>77</v>
      </c>
      <c r="B4" t="s">
        <v>79</v>
      </c>
    </row>
    <row r="5" spans="1:3">
      <c r="A5" t="s">
        <v>78</v>
      </c>
      <c r="B5" t="s">
        <v>80</v>
      </c>
    </row>
    <row r="6" spans="1:3">
      <c r="A6" t="s">
        <v>93</v>
      </c>
      <c r="B6" t="s">
        <v>94</v>
      </c>
    </row>
    <row r="7" spans="1:3">
      <c r="A7" t="s">
        <v>95</v>
      </c>
      <c r="B7" t="s">
        <v>60</v>
      </c>
    </row>
    <row r="8" spans="1:3">
      <c r="A8" t="s">
        <v>97</v>
      </c>
      <c r="B8" t="s">
        <v>99</v>
      </c>
      <c r="C8" t="s">
        <v>98</v>
      </c>
    </row>
    <row r="9" spans="1:3">
      <c r="A9" t="s">
        <v>101</v>
      </c>
      <c r="B9" t="s">
        <v>102</v>
      </c>
      <c r="C9" t="s">
        <v>103</v>
      </c>
    </row>
    <row r="10" spans="1:3">
      <c r="A10" t="s">
        <v>193</v>
      </c>
      <c r="B10" s="57">
        <v>0.3</v>
      </c>
      <c r="C10" t="s">
        <v>192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37"/>
  <sheetViews>
    <sheetView topLeftCell="A22" zoomScaleNormal="100" workbookViewId="0">
      <selection activeCell="C6" sqref="C6"/>
    </sheetView>
  </sheetViews>
  <sheetFormatPr defaultColWidth="8.796875" defaultRowHeight="15.6"/>
  <cols>
    <col min="1" max="1" width="18.8984375" customWidth="1"/>
    <col min="2" max="2" width="36.5" customWidth="1"/>
    <col min="3" max="3" width="52.5" customWidth="1"/>
    <col min="4" max="4" width="47.5" customWidth="1"/>
    <col min="5" max="5" width="31.796875" customWidth="1"/>
  </cols>
  <sheetData>
    <row r="1" spans="1:9" ht="21">
      <c r="A1" s="99" t="s">
        <v>23</v>
      </c>
      <c r="B1" s="100"/>
      <c r="C1" s="100"/>
      <c r="D1" s="100"/>
      <c r="E1" s="101"/>
      <c r="F1" s="10"/>
      <c r="G1" s="10"/>
      <c r="H1" s="10"/>
      <c r="I1" s="10"/>
    </row>
    <row r="2" spans="1:9" ht="16.2" thickBot="1">
      <c r="A2" s="49" t="s">
        <v>20</v>
      </c>
      <c r="B2" s="50" t="s">
        <v>14</v>
      </c>
      <c r="C2" s="51" t="s">
        <v>21</v>
      </c>
      <c r="D2" s="50" t="s">
        <v>180</v>
      </c>
      <c r="E2" s="52" t="s">
        <v>22</v>
      </c>
    </row>
    <row r="3" spans="1:9" ht="47.4" thickBot="1">
      <c r="A3" s="94" t="s">
        <v>109</v>
      </c>
      <c r="B3" s="96" t="s">
        <v>26</v>
      </c>
      <c r="C3" s="20" t="s">
        <v>203</v>
      </c>
      <c r="D3" s="21" t="s">
        <v>217</v>
      </c>
      <c r="E3" s="53" t="s">
        <v>216</v>
      </c>
    </row>
    <row r="4" spans="1:9" ht="63" thickBot="1">
      <c r="A4" s="95"/>
      <c r="B4" s="97"/>
      <c r="C4" s="67" t="s">
        <v>215</v>
      </c>
      <c r="D4" s="23" t="s">
        <v>218</v>
      </c>
      <c r="E4" s="53" t="s">
        <v>216</v>
      </c>
    </row>
    <row r="5" spans="1:9" ht="47.4" thickBot="1">
      <c r="A5" s="95"/>
      <c r="B5" s="97"/>
      <c r="C5" s="24" t="s">
        <v>214</v>
      </c>
      <c r="D5" s="25" t="s">
        <v>220</v>
      </c>
      <c r="E5" s="53" t="s">
        <v>216</v>
      </c>
    </row>
    <row r="6" spans="1:9" ht="47.4" thickBot="1">
      <c r="A6" s="95"/>
      <c r="B6" s="97"/>
      <c r="C6" s="24" t="s">
        <v>110</v>
      </c>
      <c r="D6" s="25" t="s">
        <v>221</v>
      </c>
      <c r="E6" s="53" t="s">
        <v>216</v>
      </c>
    </row>
    <row r="7" spans="1:9" ht="63" thickBot="1">
      <c r="A7" s="95"/>
      <c r="B7" s="97"/>
      <c r="C7" s="24" t="s">
        <v>111</v>
      </c>
      <c r="D7" s="25" t="s">
        <v>222</v>
      </c>
      <c r="E7" s="53" t="s">
        <v>216</v>
      </c>
    </row>
    <row r="8" spans="1:9" ht="63" thickBot="1">
      <c r="A8" s="90" t="s">
        <v>112</v>
      </c>
      <c r="B8" s="92" t="s">
        <v>27</v>
      </c>
      <c r="C8" s="26" t="s">
        <v>113</v>
      </c>
      <c r="D8" s="56" t="s">
        <v>204</v>
      </c>
      <c r="E8" s="56" t="s">
        <v>120</v>
      </c>
    </row>
    <row r="9" spans="1:9" ht="63" thickBot="1">
      <c r="A9" s="91"/>
      <c r="B9" s="93"/>
      <c r="C9" s="27" t="s">
        <v>114</v>
      </c>
      <c r="D9" s="56" t="s">
        <v>205</v>
      </c>
      <c r="E9" s="56" t="s">
        <v>120</v>
      </c>
    </row>
    <row r="10" spans="1:9" ht="63" thickBot="1">
      <c r="A10" s="91"/>
      <c r="B10" s="93"/>
      <c r="C10" s="27" t="s">
        <v>115</v>
      </c>
      <c r="D10" s="56" t="s">
        <v>197</v>
      </c>
      <c r="E10" s="56" t="s">
        <v>120</v>
      </c>
    </row>
    <row r="11" spans="1:9" ht="63" thickBot="1">
      <c r="A11" s="91"/>
      <c r="B11" s="93"/>
      <c r="C11" s="27" t="s">
        <v>116</v>
      </c>
      <c r="D11" s="56" t="s">
        <v>206</v>
      </c>
      <c r="E11" s="56" t="s">
        <v>120</v>
      </c>
    </row>
    <row r="12" spans="1:9" ht="63" thickBot="1">
      <c r="A12" s="102"/>
      <c r="B12" s="103"/>
      <c r="C12" s="29" t="s">
        <v>117</v>
      </c>
      <c r="D12" s="62" t="s">
        <v>223</v>
      </c>
      <c r="E12" s="56" t="s">
        <v>120</v>
      </c>
    </row>
    <row r="13" spans="1:9" ht="109.8" thickBot="1">
      <c r="A13" s="94" t="s">
        <v>118</v>
      </c>
      <c r="B13" s="96" t="s">
        <v>28</v>
      </c>
      <c r="C13" s="20" t="s">
        <v>119</v>
      </c>
      <c r="D13" s="21" t="s">
        <v>224</v>
      </c>
      <c r="E13" s="21" t="s">
        <v>120</v>
      </c>
    </row>
    <row r="14" spans="1:9" ht="125.4" thickBot="1">
      <c r="A14" s="95"/>
      <c r="B14" s="97"/>
      <c r="C14" s="22" t="s">
        <v>121</v>
      </c>
      <c r="D14" s="23" t="s">
        <v>225</v>
      </c>
      <c r="E14" s="21" t="s">
        <v>120</v>
      </c>
    </row>
    <row r="15" spans="1:9" ht="94.2" thickBot="1">
      <c r="A15" s="95"/>
      <c r="B15" s="97"/>
      <c r="C15" s="22" t="s">
        <v>122</v>
      </c>
      <c r="D15" s="23" t="s">
        <v>226</v>
      </c>
      <c r="E15" s="21" t="s">
        <v>123</v>
      </c>
    </row>
    <row r="16" spans="1:9" ht="63" thickBot="1">
      <c r="A16" s="90" t="s">
        <v>124</v>
      </c>
      <c r="B16" s="92" t="s">
        <v>29</v>
      </c>
      <c r="C16" s="26" t="s">
        <v>125</v>
      </c>
      <c r="D16" s="56" t="s">
        <v>227</v>
      </c>
      <c r="E16" s="26" t="s">
        <v>126</v>
      </c>
    </row>
    <row r="17" spans="1:5" ht="63" thickBot="1">
      <c r="A17" s="91"/>
      <c r="B17" s="93"/>
      <c r="C17" s="30" t="s">
        <v>127</v>
      </c>
      <c r="D17" s="43" t="s">
        <v>228</v>
      </c>
      <c r="E17" s="28" t="s">
        <v>126</v>
      </c>
    </row>
    <row r="18" spans="1:5" ht="46.8">
      <c r="A18" s="86" t="s">
        <v>128</v>
      </c>
      <c r="B18" s="88" t="s">
        <v>32</v>
      </c>
      <c r="C18" s="31" t="s">
        <v>129</v>
      </c>
      <c r="D18" s="20" t="s">
        <v>130</v>
      </c>
      <c r="E18" s="21" t="s">
        <v>131</v>
      </c>
    </row>
    <row r="19" spans="1:5" ht="46.8">
      <c r="A19" s="95"/>
      <c r="B19" s="98"/>
      <c r="C19" s="32" t="s">
        <v>132</v>
      </c>
      <c r="D19" s="33" t="s">
        <v>133</v>
      </c>
      <c r="E19" s="23" t="s">
        <v>134</v>
      </c>
    </row>
    <row r="20" spans="1:5" ht="62.4">
      <c r="A20" s="95"/>
      <c r="B20" s="98"/>
      <c r="C20" s="32" t="s">
        <v>135</v>
      </c>
      <c r="D20" s="34" t="s">
        <v>198</v>
      </c>
      <c r="E20" s="23" t="s">
        <v>131</v>
      </c>
    </row>
    <row r="21" spans="1:5" ht="78">
      <c r="A21" s="95"/>
      <c r="B21" s="98"/>
      <c r="C21" s="32" t="s">
        <v>136</v>
      </c>
      <c r="D21" s="33" t="s">
        <v>207</v>
      </c>
      <c r="E21" s="23" t="s">
        <v>134</v>
      </c>
    </row>
    <row r="22" spans="1:5" ht="31.2">
      <c r="A22" s="95"/>
      <c r="B22" s="98"/>
      <c r="C22" s="32" t="s">
        <v>137</v>
      </c>
      <c r="D22" s="33" t="s">
        <v>208</v>
      </c>
      <c r="E22" s="23" t="s">
        <v>229</v>
      </c>
    </row>
    <row r="23" spans="1:5" ht="78.599999999999994" thickBot="1">
      <c r="A23" s="87"/>
      <c r="B23" s="89"/>
      <c r="C23" s="35" t="s">
        <v>138</v>
      </c>
      <c r="D23" s="63" t="s">
        <v>209</v>
      </c>
      <c r="E23" s="23" t="s">
        <v>229</v>
      </c>
    </row>
    <row r="24" spans="1:5" ht="62.4">
      <c r="A24" s="90" t="s">
        <v>139</v>
      </c>
      <c r="B24" s="92" t="s">
        <v>33</v>
      </c>
      <c r="C24" s="36" t="s">
        <v>140</v>
      </c>
      <c r="D24" s="43" t="s">
        <v>230</v>
      </c>
      <c r="E24" s="26" t="s">
        <v>141</v>
      </c>
    </row>
    <row r="25" spans="1:5" ht="63" thickBot="1">
      <c r="A25" s="91"/>
      <c r="B25" s="93"/>
      <c r="C25" s="37" t="s">
        <v>142</v>
      </c>
      <c r="D25" s="64" t="s">
        <v>231</v>
      </c>
      <c r="E25" s="28" t="s">
        <v>143</v>
      </c>
    </row>
    <row r="26" spans="1:5" ht="93.6">
      <c r="A26" s="86" t="s">
        <v>144</v>
      </c>
      <c r="B26" s="88" t="s">
        <v>34</v>
      </c>
      <c r="C26" s="31" t="s">
        <v>145</v>
      </c>
      <c r="D26" s="20" t="s">
        <v>210</v>
      </c>
      <c r="E26" s="21" t="s">
        <v>146</v>
      </c>
    </row>
    <row r="27" spans="1:5" ht="49.8" thickBot="1">
      <c r="A27" s="87"/>
      <c r="B27" s="89"/>
      <c r="C27" s="38" t="s">
        <v>147</v>
      </c>
      <c r="D27" s="39" t="s">
        <v>211</v>
      </c>
      <c r="E27" s="40" t="s">
        <v>148</v>
      </c>
    </row>
    <row r="28" spans="1:5" ht="125.4" thickBot="1">
      <c r="A28" s="68" t="s">
        <v>149</v>
      </c>
      <c r="B28" s="41" t="s">
        <v>36</v>
      </c>
      <c r="C28" s="42" t="s">
        <v>150</v>
      </c>
      <c r="D28" s="43" t="s">
        <v>212</v>
      </c>
      <c r="E28" s="43" t="s">
        <v>213</v>
      </c>
    </row>
    <row r="29" spans="1:5" ht="46.8">
      <c r="A29" s="86" t="s">
        <v>151</v>
      </c>
      <c r="B29" s="88" t="s">
        <v>39</v>
      </c>
      <c r="C29" s="31" t="s">
        <v>152</v>
      </c>
      <c r="D29" s="20" t="s">
        <v>153</v>
      </c>
      <c r="E29" s="21" t="s">
        <v>154</v>
      </c>
    </row>
    <row r="30" spans="1:5" ht="47.4" thickBot="1">
      <c r="A30" s="87"/>
      <c r="B30" s="89"/>
      <c r="C30" s="38" t="s">
        <v>155</v>
      </c>
      <c r="D30" s="39" t="s">
        <v>156</v>
      </c>
      <c r="E30" s="40" t="s">
        <v>157</v>
      </c>
    </row>
    <row r="31" spans="1:5" ht="47.4" thickBot="1">
      <c r="A31" s="69" t="s">
        <v>158</v>
      </c>
      <c r="B31" s="44" t="s">
        <v>40</v>
      </c>
      <c r="C31" s="45" t="s">
        <v>159</v>
      </c>
      <c r="D31" s="46" t="s">
        <v>194</v>
      </c>
      <c r="E31" s="47" t="s">
        <v>160</v>
      </c>
    </row>
    <row r="32" spans="1:5" ht="16.2" thickBot="1">
      <c r="A32" s="70" t="s">
        <v>161</v>
      </c>
      <c r="B32" s="60" t="s">
        <v>41</v>
      </c>
      <c r="C32" s="61" t="s">
        <v>162</v>
      </c>
      <c r="D32" s="59"/>
      <c r="E32" s="48"/>
    </row>
    <row r="33" spans="1:5" ht="109.8" thickBot="1">
      <c r="A33" s="69" t="s">
        <v>163</v>
      </c>
      <c r="B33" s="44" t="s">
        <v>43</v>
      </c>
      <c r="C33" s="45" t="s">
        <v>164</v>
      </c>
      <c r="D33" s="46" t="s">
        <v>195</v>
      </c>
      <c r="E33" s="46" t="s">
        <v>165</v>
      </c>
    </row>
    <row r="34" spans="1:5" ht="109.8" thickBot="1">
      <c r="A34" s="71" t="s">
        <v>166</v>
      </c>
      <c r="B34" s="60" t="s">
        <v>47</v>
      </c>
      <c r="C34" s="61" t="s">
        <v>167</v>
      </c>
      <c r="D34" s="59" t="s">
        <v>168</v>
      </c>
      <c r="E34" s="58" t="s">
        <v>169</v>
      </c>
    </row>
    <row r="35" spans="1:5" ht="63" thickBot="1">
      <c r="A35" s="72" t="s">
        <v>170</v>
      </c>
      <c r="B35" s="44" t="s">
        <v>72</v>
      </c>
      <c r="C35" s="45" t="s">
        <v>171</v>
      </c>
      <c r="D35" s="46" t="s">
        <v>196</v>
      </c>
      <c r="E35" s="47" t="s">
        <v>172</v>
      </c>
    </row>
    <row r="36" spans="1:5" ht="63" thickBot="1">
      <c r="A36" s="86" t="s">
        <v>173</v>
      </c>
      <c r="B36" s="88" t="s">
        <v>74</v>
      </c>
      <c r="C36" s="31" t="s">
        <v>174</v>
      </c>
      <c r="D36" s="20" t="s">
        <v>175</v>
      </c>
      <c r="E36" s="21" t="s">
        <v>176</v>
      </c>
    </row>
    <row r="37" spans="1:5" ht="78.599999999999994" thickBot="1">
      <c r="A37" s="87"/>
      <c r="B37" s="89"/>
      <c r="C37" s="38" t="s">
        <v>177</v>
      </c>
      <c r="D37" s="39" t="s">
        <v>178</v>
      </c>
      <c r="E37" s="21" t="s">
        <v>179</v>
      </c>
    </row>
  </sheetData>
  <mergeCells count="19">
    <mergeCell ref="A1:E1"/>
    <mergeCell ref="A3:A7"/>
    <mergeCell ref="B3:B7"/>
    <mergeCell ref="A8:A12"/>
    <mergeCell ref="B8:B12"/>
    <mergeCell ref="A13:A15"/>
    <mergeCell ref="B13:B15"/>
    <mergeCell ref="A16:A17"/>
    <mergeCell ref="B16:B17"/>
    <mergeCell ref="A18:A23"/>
    <mergeCell ref="B18:B23"/>
    <mergeCell ref="A36:A37"/>
    <mergeCell ref="B36:B37"/>
    <mergeCell ref="A24:A25"/>
    <mergeCell ref="B24:B25"/>
    <mergeCell ref="A26:A27"/>
    <mergeCell ref="B26:B27"/>
    <mergeCell ref="A29:A30"/>
    <mergeCell ref="B29:B30"/>
  </mergeCells>
  <hyperlinks>
    <hyperlink ref="A3:A7" location="Requirements!A2" display="T-FUNC-001" xr:uid="{A1301FBA-2D2E-47DF-B8B5-A096F55AA337}"/>
    <hyperlink ref="A8:A12" location="Requirements!A3" display="T-FUNC-002" xr:uid="{C90EE724-8725-4AFD-9636-B2FC31A8BCF6}"/>
    <hyperlink ref="A13:A15" location="Requirements!A4" display="T-FUNC-003" xr:uid="{ADD00CF0-589B-406B-8AEE-156AF4A96329}"/>
    <hyperlink ref="A16:A17" location="Requirements!A5" display="T-FUNC-004" xr:uid="{30489F19-4D77-483C-869C-17BCBF3C4BD8}"/>
    <hyperlink ref="A18:A23" location="Requirements!A8" display="T-FUNC-005" xr:uid="{F7C76E3C-839F-41A0-B5B3-751D41680448}"/>
    <hyperlink ref="A24:A25" location="Requirements!A9" display="T-FUNC-006" xr:uid="{AC288A37-4925-4124-8C8C-1F6B871FCF83}"/>
    <hyperlink ref="A26:A27" location="Requirements!A10" display="T-FUNC-007" xr:uid="{65138890-52A7-435E-A3F4-D7A25C9AF62B}"/>
    <hyperlink ref="A28" location="Requirements!A12" display="T-FUNC-008" xr:uid="{CF8FC5CE-AE83-4B6F-BE3B-DFD42D730351}"/>
    <hyperlink ref="A29:A30" location="Requirements!A16" display="T-FUNC-009" xr:uid="{A7ABC002-6BEA-447D-AF2B-BBD08A56639F}"/>
    <hyperlink ref="A31" location="Requirements!A17" display="T-FUNC-010" xr:uid="{21DC70ED-73A5-47EA-95F7-7FA8690A5A6E}"/>
    <hyperlink ref="A32" location="Requirements!A18" display="T-FUNC-011" xr:uid="{4C1F9D4F-EEC1-4D71-ABE6-CCB6AB3918FF}"/>
    <hyperlink ref="A33" location="Requirements!A20" display="T-FUNC-012" xr:uid="{247EAA5C-EB3E-426A-9F93-6D40C96B2573}"/>
    <hyperlink ref="A34" location="Requirements!A24" display="T-FUNC-013" xr:uid="{7EBEB789-A84A-4A04-BAFA-4D47CBDEB484}"/>
    <hyperlink ref="A35" location="Requirements!A25" display="T-FUNC-014" xr:uid="{EBCE34CB-1373-47B0-9D9A-B49D67A5595A}"/>
    <hyperlink ref="A36:A37" location="Requirements!A26" display="T-FUNC-015" xr:uid="{0ADCF89F-EFC8-4F80-B280-E4351DD37B2F}"/>
  </hyperlinks>
  <pageMargins left="0.7" right="0.7" top="0.75" bottom="0.75" header="0.3" footer="0.3"/>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08EC4-0850-40E9-B582-E1632DC8360D}">
  <dimension ref="A3:D10"/>
  <sheetViews>
    <sheetView workbookViewId="0">
      <selection activeCell="B9" sqref="B9:B10"/>
    </sheetView>
  </sheetViews>
  <sheetFormatPr defaultRowHeight="15.6"/>
  <cols>
    <col min="3" max="3" width="23.8984375" customWidth="1"/>
    <col min="4" max="4" width="44.59765625" customWidth="1"/>
  </cols>
  <sheetData>
    <row r="3" spans="1:4">
      <c r="B3" t="s">
        <v>181</v>
      </c>
      <c r="C3" t="s">
        <v>182</v>
      </c>
      <c r="D3" t="s">
        <v>15</v>
      </c>
    </row>
    <row r="4" spans="1:4">
      <c r="B4" s="11">
        <v>1</v>
      </c>
      <c r="C4" s="54" t="s">
        <v>187</v>
      </c>
      <c r="D4" s="55" t="s">
        <v>188</v>
      </c>
    </row>
    <row r="5" spans="1:4">
      <c r="B5" s="11">
        <v>2</v>
      </c>
      <c r="C5" s="54" t="s">
        <v>189</v>
      </c>
      <c r="D5" s="55" t="s">
        <v>190</v>
      </c>
    </row>
    <row r="6" spans="1:4">
      <c r="B6" s="11">
        <v>3</v>
      </c>
      <c r="C6" s="54" t="s">
        <v>199</v>
      </c>
      <c r="D6" s="55" t="s">
        <v>200</v>
      </c>
    </row>
    <row r="7" spans="1:4" ht="46.8">
      <c r="B7" s="11">
        <v>4</v>
      </c>
      <c r="C7" s="54" t="s">
        <v>185</v>
      </c>
      <c r="D7" s="55" t="s">
        <v>186</v>
      </c>
    </row>
    <row r="8" spans="1:4">
      <c r="B8" s="11">
        <v>5</v>
      </c>
      <c r="C8" s="54" t="s">
        <v>191</v>
      </c>
      <c r="D8" s="55" t="s">
        <v>192</v>
      </c>
    </row>
    <row r="9" spans="1:4">
      <c r="A9" s="65"/>
      <c r="B9" s="11">
        <v>6</v>
      </c>
      <c r="C9" s="54" t="s">
        <v>183</v>
      </c>
      <c r="D9" s="55" t="s">
        <v>184</v>
      </c>
    </row>
    <row r="10" spans="1:4">
      <c r="B10" s="11">
        <v>7</v>
      </c>
      <c r="C10" s="54" t="s">
        <v>232</v>
      </c>
      <c r="D10" s="55" t="s">
        <v>233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Sheet</vt:lpstr>
      <vt:lpstr>Requirements</vt:lpstr>
      <vt:lpstr>Architecture</vt:lpstr>
      <vt:lpstr>Parameters</vt:lpstr>
      <vt:lpstr>Test Spec</vt:lpstr>
      <vt:lpstr>Glossary</vt:lpstr>
    </vt:vector>
  </TitlesOfParts>
  <Company>HS BREMERHAVEN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Aju Jose</cp:lastModifiedBy>
  <dcterms:created xsi:type="dcterms:W3CDTF">2016-10-10T10:45:47Z</dcterms:created>
  <dcterms:modified xsi:type="dcterms:W3CDTF">2018-11-25T14:10:33Z</dcterms:modified>
</cp:coreProperties>
</file>